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milo\Downloads\"/>
    </mc:Choice>
  </mc:AlternateContent>
  <xr:revisionPtr revIDLastSave="0" documentId="13_ncr:1_{F8B4EF39-B7B3-46E7-8A11-42C9F20E7CE3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Productos Factura FVE150174" sheetId="1" r:id="rId1"/>
    <sheet name="Registro Ventas y Ganancias" sheetId="2" r:id="rId2"/>
    <sheet name="Stock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2" l="1"/>
  <c r="F28" i="3"/>
  <c r="D28" i="3"/>
  <c r="D5" i="2"/>
  <c r="D6" i="2"/>
  <c r="D7" i="2"/>
  <c r="D8" i="2"/>
  <c r="D9" i="2"/>
  <c r="D10" i="2"/>
  <c r="D11" i="2"/>
  <c r="D12" i="2"/>
  <c r="D13" i="2"/>
  <c r="D14" i="2"/>
  <c r="F14" i="2" s="1"/>
  <c r="G14" i="2" s="1"/>
  <c r="D15" i="2"/>
  <c r="D16" i="2"/>
  <c r="D17" i="2"/>
  <c r="D18" i="2"/>
  <c r="H18" i="2" s="1"/>
  <c r="D19" i="2"/>
  <c r="D20" i="2"/>
  <c r="D21" i="2"/>
  <c r="H11" i="2"/>
  <c r="H19" i="2"/>
  <c r="H6" i="2"/>
  <c r="H10" i="2"/>
  <c r="H12" i="2"/>
  <c r="F20" i="2"/>
  <c r="G20" i="2" s="1"/>
  <c r="H5" i="2"/>
  <c r="I5" i="2" s="1"/>
  <c r="H4" i="1"/>
  <c r="G11" i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E5" i="3"/>
  <c r="E6" i="3"/>
  <c r="F6" i="3" s="1"/>
  <c r="H6" i="3" s="1"/>
  <c r="E7" i="3"/>
  <c r="F7" i="3" s="1"/>
  <c r="H7" i="3" s="1"/>
  <c r="E8" i="3"/>
  <c r="F8" i="3" s="1"/>
  <c r="H8" i="3" s="1"/>
  <c r="E9" i="3"/>
  <c r="F9" i="3" s="1"/>
  <c r="H9" i="3" s="1"/>
  <c r="E10" i="3"/>
  <c r="F10" i="3" s="1"/>
  <c r="E11" i="3"/>
  <c r="F11" i="3" s="1"/>
  <c r="H11" i="3" s="1"/>
  <c r="E12" i="3"/>
  <c r="F12" i="3" s="1"/>
  <c r="H12" i="3" s="1"/>
  <c r="E13" i="3"/>
  <c r="F13" i="3" s="1"/>
  <c r="E14" i="3"/>
  <c r="F14" i="3" s="1"/>
  <c r="E15" i="3"/>
  <c r="F15" i="3" s="1"/>
  <c r="H15" i="3" s="1"/>
  <c r="E16" i="3"/>
  <c r="F16" i="3" s="1"/>
  <c r="H16" i="3" s="1"/>
  <c r="E17" i="3"/>
  <c r="F17" i="3" s="1"/>
  <c r="E18" i="3"/>
  <c r="F18" i="3" s="1"/>
  <c r="E19" i="3"/>
  <c r="F19" i="3" s="1"/>
  <c r="H19" i="3" s="1"/>
  <c r="E20" i="3"/>
  <c r="F20" i="3" s="1"/>
  <c r="H20" i="3" s="1"/>
  <c r="E21" i="3"/>
  <c r="F21" i="3" s="1"/>
  <c r="E22" i="3"/>
  <c r="F22" i="3" s="1"/>
  <c r="E23" i="3"/>
  <c r="F23" i="3" s="1"/>
  <c r="H23" i="3" s="1"/>
  <c r="E24" i="3"/>
  <c r="F24" i="3" s="1"/>
  <c r="H24" i="3" s="1"/>
  <c r="E25" i="3"/>
  <c r="F25" i="3" s="1"/>
  <c r="E26" i="3"/>
  <c r="F26" i="3" s="1"/>
  <c r="E27" i="3"/>
  <c r="F27" i="3" s="1"/>
  <c r="H27" i="3" s="1"/>
  <c r="G8" i="2"/>
  <c r="H7" i="2"/>
  <c r="G6" i="2"/>
  <c r="J13" i="2"/>
  <c r="J14" i="2"/>
  <c r="J15" i="2"/>
  <c r="J16" i="2"/>
  <c r="J17" i="2"/>
  <c r="J18" i="2"/>
  <c r="J19" i="2"/>
  <c r="J20" i="2"/>
  <c r="J21" i="2"/>
  <c r="G9" i="2"/>
  <c r="G11" i="2"/>
  <c r="G12" i="2"/>
  <c r="G10" i="2"/>
  <c r="F13" i="2"/>
  <c r="G13" i="2" s="1"/>
  <c r="F15" i="2"/>
  <c r="G15" i="2" s="1"/>
  <c r="F16" i="2"/>
  <c r="G16" i="2" s="1"/>
  <c r="F17" i="2"/>
  <c r="G17" i="2" s="1"/>
  <c r="F18" i="2"/>
  <c r="G18" i="2" s="1"/>
  <c r="F19" i="2"/>
  <c r="G19" i="2" s="1"/>
  <c r="F21" i="2"/>
  <c r="G21" i="2" s="1"/>
  <c r="H9" i="2"/>
  <c r="I9" i="2" s="1"/>
  <c r="J9" i="2" s="1"/>
  <c r="H13" i="2"/>
  <c r="H16" i="2"/>
  <c r="H17" i="2"/>
  <c r="H21" i="2"/>
  <c r="E22" i="2"/>
  <c r="C21" i="2"/>
  <c r="C20" i="2"/>
  <c r="C19" i="2"/>
  <c r="C18" i="2"/>
  <c r="C17" i="2"/>
  <c r="C16" i="2"/>
  <c r="H15" i="2"/>
  <c r="C15" i="2"/>
  <c r="H14" i="2"/>
  <c r="C14" i="2"/>
  <c r="C13" i="2"/>
  <c r="D27" i="1"/>
  <c r="G26" i="1"/>
  <c r="I26" i="1" s="1"/>
  <c r="J26" i="1" s="1"/>
  <c r="G25" i="1"/>
  <c r="H25" i="1" s="1"/>
  <c r="G24" i="1"/>
  <c r="I24" i="1" s="1"/>
  <c r="J24" i="1" s="1"/>
  <c r="G23" i="1"/>
  <c r="H23" i="1" s="1"/>
  <c r="G22" i="1"/>
  <c r="I22" i="1" s="1"/>
  <c r="J22" i="1" s="1"/>
  <c r="G21" i="1"/>
  <c r="H21" i="1" s="1"/>
  <c r="G20" i="1"/>
  <c r="I20" i="1" s="1"/>
  <c r="J20" i="1" s="1"/>
  <c r="G19" i="1"/>
  <c r="H19" i="1" s="1"/>
  <c r="G18" i="1"/>
  <c r="I18" i="1" s="1"/>
  <c r="J18" i="1" s="1"/>
  <c r="G17" i="1"/>
  <c r="H17" i="1" s="1"/>
  <c r="G16" i="1"/>
  <c r="I16" i="1" s="1"/>
  <c r="J16" i="1" s="1"/>
  <c r="G15" i="1"/>
  <c r="H15" i="1" s="1"/>
  <c r="G14" i="1"/>
  <c r="I14" i="1" s="1"/>
  <c r="J14" i="1" s="1"/>
  <c r="G13" i="1"/>
  <c r="H13" i="1" s="1"/>
  <c r="G12" i="1"/>
  <c r="I12" i="1" s="1"/>
  <c r="J12" i="1" s="1"/>
  <c r="H11" i="1"/>
  <c r="G10" i="1"/>
  <c r="I10" i="1" s="1"/>
  <c r="J10" i="1" s="1"/>
  <c r="G9" i="1"/>
  <c r="I9" i="1" s="1"/>
  <c r="J9" i="1" s="1"/>
  <c r="G8" i="1"/>
  <c r="H8" i="1" s="1"/>
  <c r="G7" i="1"/>
  <c r="H7" i="1" s="1"/>
  <c r="G6" i="1"/>
  <c r="I6" i="1" s="1"/>
  <c r="J6" i="1" s="1"/>
  <c r="G5" i="1"/>
  <c r="H5" i="1" s="1"/>
  <c r="G4" i="1"/>
  <c r="I4" i="1" s="1"/>
  <c r="J4" i="1" s="1"/>
  <c r="G22" i="2" l="1"/>
  <c r="H20" i="2"/>
  <c r="I10" i="2"/>
  <c r="J10" i="2" s="1"/>
  <c r="E28" i="3"/>
  <c r="H22" i="3"/>
  <c r="I11" i="2"/>
  <c r="J11" i="2" s="1"/>
  <c r="H25" i="3"/>
  <c r="H17" i="3"/>
  <c r="H26" i="3"/>
  <c r="H18" i="3"/>
  <c r="H10" i="3"/>
  <c r="H14" i="3"/>
  <c r="H21" i="3"/>
  <c r="H13" i="3"/>
  <c r="F5" i="3"/>
  <c r="H5" i="3" s="1"/>
  <c r="I12" i="2"/>
  <c r="J12" i="2" s="1"/>
  <c r="H8" i="2"/>
  <c r="G7" i="2"/>
  <c r="I6" i="2"/>
  <c r="J6" i="2" s="1"/>
  <c r="J5" i="2"/>
  <c r="H9" i="1"/>
  <c r="I5" i="1"/>
  <c r="J5" i="1" s="1"/>
  <c r="I7" i="1"/>
  <c r="J7" i="1" s="1"/>
  <c r="I11" i="1"/>
  <c r="J11" i="1" s="1"/>
  <c r="I13" i="1"/>
  <c r="J13" i="1" s="1"/>
  <c r="I15" i="1"/>
  <c r="J15" i="1" s="1"/>
  <c r="I17" i="1"/>
  <c r="J17" i="1" s="1"/>
  <c r="I19" i="1"/>
  <c r="J19" i="1" s="1"/>
  <c r="I21" i="1"/>
  <c r="J21" i="1" s="1"/>
  <c r="I23" i="1"/>
  <c r="J23" i="1" s="1"/>
  <c r="I25" i="1"/>
  <c r="J25" i="1" s="1"/>
  <c r="H6" i="1"/>
  <c r="H10" i="1"/>
  <c r="H14" i="1"/>
  <c r="H16" i="1"/>
  <c r="H18" i="1"/>
  <c r="H22" i="1"/>
  <c r="H24" i="1"/>
  <c r="H26" i="1"/>
  <c r="H12" i="1"/>
  <c r="H20" i="1"/>
  <c r="I8" i="1"/>
  <c r="J8" i="1" s="1"/>
  <c r="H28" i="3" l="1"/>
  <c r="I7" i="2"/>
  <c r="J7" i="2" s="1"/>
  <c r="H22" i="2"/>
  <c r="I8" i="2"/>
  <c r="J8" i="2" s="1"/>
  <c r="J27" i="1"/>
  <c r="H27" i="1"/>
  <c r="I22" i="2" l="1"/>
  <c r="J22" i="2"/>
</calcChain>
</file>

<file path=xl/sharedStrings.xml><?xml version="1.0" encoding="utf-8"?>
<sst xmlns="http://schemas.openxmlformats.org/spreadsheetml/2006/main" count="143" uniqueCount="72">
  <si>
    <t>Factura FVE150174 - Importadora OKLA S.A.S. — Autopartes Pita (18/09/2026)</t>
  </si>
  <si>
    <t>Margen de venta sugerido:</t>
  </si>
  <si>
    <t>Item</t>
  </si>
  <si>
    <t>Referencia</t>
  </si>
  <si>
    <t>Producto</t>
  </si>
  <si>
    <t>Cantidad</t>
  </si>
  <si>
    <t>Precio Unit. sin IVA</t>
  </si>
  <si>
    <t>% IVA</t>
  </si>
  <si>
    <t>Precio Unit. con IVA</t>
  </si>
  <si>
    <t>Valor Total con IVA</t>
  </si>
  <si>
    <t>Precio Venta Sugerido (Unit., +40%)</t>
  </si>
  <si>
    <t>Valor Venta Total Sugerido</t>
  </si>
  <si>
    <t>CRINF233</t>
  </si>
  <si>
    <t>Paso rueda CH Spark GT RH (11-19) TYC</t>
  </si>
  <si>
    <t>CRINF232</t>
  </si>
  <si>
    <t>Paso rueda CH Spark GT LH (11-19) TYC</t>
  </si>
  <si>
    <t>CRINF74</t>
  </si>
  <si>
    <t>Paso rueda CH Spark Chronos RH (05-14) TYC</t>
  </si>
  <si>
    <t>CRINF75</t>
  </si>
  <si>
    <t>Paso rueda CH Spark Chronos LH (05-14) TYC</t>
  </si>
  <si>
    <t>CRINF166</t>
  </si>
  <si>
    <t>Paso rueda CH Corsa MV/Wind RH (98-07) TYC</t>
  </si>
  <si>
    <t>CRINF167</t>
  </si>
  <si>
    <t>Paso rueda CH Corsa MV/Wind LH (98-07) TYC</t>
  </si>
  <si>
    <t>CRRET36</t>
  </si>
  <si>
    <t>Espejo CH Spark GT c/cable LH (10-14) TYC</t>
  </si>
  <si>
    <t>CRRET168</t>
  </si>
  <si>
    <t>Espejo CH Spark Chronos manual LH (05-14) TYC</t>
  </si>
  <si>
    <t>CRRET106</t>
  </si>
  <si>
    <t>Espejo CH Corsa c/cable RH (96-04) TYC</t>
  </si>
  <si>
    <t>CRRET107</t>
  </si>
  <si>
    <t>Espejo CH Corsa c/cable LH (96-04) TYC</t>
  </si>
  <si>
    <t>CRSIL10</t>
  </si>
  <si>
    <t>Lámpara guardabarro HY Atos LH-RH (05-12) Todo</t>
  </si>
  <si>
    <t>CRSIL33</t>
  </si>
  <si>
    <t>Lámpara guardabarro CH Spark Chronos c/u LH-RH (05-14) Todo</t>
  </si>
  <si>
    <t>CRFRB12</t>
  </si>
  <si>
    <t>Bomper delantero CH Spark Chronos (05-14) Todo</t>
  </si>
  <si>
    <t>CRREL10</t>
  </si>
  <si>
    <t>Lámpara trasera reversa roja CH Chronos LH (05-14) Todo</t>
  </si>
  <si>
    <t>CRREL9</t>
  </si>
  <si>
    <t>Lámpara trasera reversa blanca CH Chronos RH (05-14) Todo</t>
  </si>
  <si>
    <t>CRRET27</t>
  </si>
  <si>
    <t>Espejo CH Aveo Emotion c/cable LH (06-14) Todo</t>
  </si>
  <si>
    <t>CRFRB29</t>
  </si>
  <si>
    <t>Bomper delantero CH Spark GT (11-14) Todo</t>
  </si>
  <si>
    <t>CRREB14</t>
  </si>
  <si>
    <t>Bomper trasero CH Sail (12-20) Todo</t>
  </si>
  <si>
    <t>CRINF33</t>
  </si>
  <si>
    <t>Paso rueda CH Sail LH (12-20) Todo</t>
  </si>
  <si>
    <t>CRELC149</t>
  </si>
  <si>
    <t>Switch parqueo HY Atos/Machage</t>
  </si>
  <si>
    <t>CRELC74</t>
  </si>
  <si>
    <t>Trompo freno HY Atos/Machage</t>
  </si>
  <si>
    <t>CRELC266</t>
  </si>
  <si>
    <t>Flasher direccional CH Chronos/Sail/Optra/Spark/Aveo/DW</t>
  </si>
  <si>
    <t>CRREB51</t>
  </si>
  <si>
    <t>Bomper trasero HY Grand i10 HB (15-18) FPI</t>
  </si>
  <si>
    <t>TOTALES</t>
  </si>
  <si>
    <t>Nota: 'Precio Unit. sin IVA' y 'Valor Total con IVA' se calculan a partir de los precios con descuento de la factura (no incluyen el flete de $44,830 ni la retefuente, que la factura prorratea aparte). El precio de venta sugerido aplica el margen del 40% (celda amarilla M1, editable) sobre el costo unitario con IVA incluido. No fue posible verificar precios de mercado confiables para estas referencias específicas de importador (códigos internos TYC/Todo/OKLA); si tienes referencias equivalentes de la competencia, con gusto las comparo.</t>
  </si>
  <si>
    <t>Registro de Ventas y Ganancias</t>
  </si>
  <si>
    <t>Llena solo las celdas amarillas (Fecha, Referencia, Cantidad Vendida, Precio Venta Unitario). El Producto y el Costo se traen solos de la hoja de la factura, y la Ganancia se calcula sola.</t>
  </si>
  <si>
    <t>Fecha</t>
  </si>
  <si>
    <t>Costo Unit. (con IVA)</t>
  </si>
  <si>
    <t>Cantidad Vendida</t>
  </si>
  <si>
    <t>Precio Venta Unitario</t>
  </si>
  <si>
    <t>Valor Venta Total</t>
  </si>
  <si>
    <t>Costo Total</t>
  </si>
  <si>
    <t>Ganancia</t>
  </si>
  <si>
    <t xml:space="preserve">Margen </t>
  </si>
  <si>
    <t>Cantidad Disponible</t>
  </si>
  <si>
    <t>REGISTRO DE LO QUE QUEDA DISPONIBLE  (STOCK)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</si>
</sst>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\$#,##0"/>
    <numFmt numFmtId="165" formatCode="yyyy\-mm\-dd"/>
    <numFmt numFmtId="173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59">
    <xf numFmtId="0" fontId="0" fillId="0" borderId="0" xfId="0"/>
    <xf numFmtId="0" fontId="0" fillId="0" borderId="0" xfId="0" applyAlignment="1"/>
    <xf numFmtId="0" fontId="3" fillId="0" borderId="0" xfId="0" applyFont="1" applyAlignment="1"/>
    <xf numFmtId="9" fontId="4" fillId="3" borderId="0" xfId="0" applyNumberFormat="1" applyFont="1" applyFill="1" applyAlignme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right" vertical="center"/>
    </xf>
    <xf numFmtId="9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164" fontId="6" fillId="0" borderId="8" xfId="0" applyNumberFormat="1" applyFont="1" applyBorder="1" applyAlignment="1">
      <alignment horizontal="right" vertical="center"/>
    </xf>
    <xf numFmtId="9" fontId="6" fillId="0" borderId="8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right" vertical="center"/>
    </xf>
    <xf numFmtId="165" fontId="8" fillId="5" borderId="2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5" fontId="8" fillId="5" borderId="7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164" fontId="8" fillId="0" borderId="8" xfId="0" applyNumberFormat="1" applyFont="1" applyBorder="1" applyAlignment="1">
      <alignment horizontal="right" vertical="center"/>
    </xf>
    <xf numFmtId="164" fontId="8" fillId="5" borderId="8" xfId="0" applyNumberFormat="1" applyFont="1" applyFill="1" applyBorder="1" applyAlignment="1">
      <alignment horizontal="righ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1" fillId="0" borderId="3" xfId="1" applyBorder="1" applyAlignment="1">
      <alignment horizontal="right" vertical="center"/>
    </xf>
    <xf numFmtId="44" fontId="3" fillId="0" borderId="1" xfId="0" applyNumberFormat="1" applyFont="1" applyBorder="1" applyAlignment="1">
      <alignment horizontal="right" vertical="center"/>
    </xf>
    <xf numFmtId="165" fontId="1" fillId="5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4" fontId="1" fillId="0" borderId="0" xfId="1"/>
    <xf numFmtId="44" fontId="0" fillId="0" borderId="0" xfId="0" applyNumberFormat="1"/>
    <xf numFmtId="1" fontId="0" fillId="0" borderId="10" xfId="0" applyNumberForma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left" vertical="center" wrapText="1"/>
    </xf>
    <xf numFmtId="44" fontId="0" fillId="0" borderId="0" xfId="0" applyNumberFormat="1" applyBorder="1"/>
    <xf numFmtId="44" fontId="1" fillId="0" borderId="0" xfId="0" applyNumberFormat="1" applyFont="1" applyFill="1" applyBorder="1"/>
    <xf numFmtId="173" fontId="1" fillId="0" borderId="1" xfId="1" applyNumberForma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47">
    <dxf>
      <numFmt numFmtId="34" formatCode="_-&quot;$&quot;\ * #,##0.00_-;\-&quot;$&quot;\ * #,##0.00_-;_-&quot;$&quot;\ 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outline="0">
        <left style="thin">
          <color rgb="FFBFBFBF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rgb="FFFFFFFF"/>
          <bgColor rgb="FFFFFD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"/>
      <fill>
        <patternFill patternType="solid">
          <fgColor rgb="FFFFFFFF"/>
          <bgColor rgb="FFFFFDE7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%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D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yyyy\-mm\-dd"/>
      <fill>
        <patternFill patternType="solid">
          <fgColor rgb="FFFFFFFF"/>
          <bgColor rgb="FFFFFDE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$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FEE30-3D8B-49D5-999A-81FA6505CD67}" name="Tabla1" displayName="Tabla1" ref="A3:J26" totalsRowShown="0" headerRowDxfId="46" dataDxfId="44" headerRowBorderDxfId="45" tableBorderDxfId="43" totalsRowBorderDxfId="42">
  <autoFilter ref="A3:J26" xr:uid="{78DFEE30-3D8B-49D5-999A-81FA6505CD67}"/>
  <tableColumns count="10">
    <tableColumn id="1" xr3:uid="{B5FB4383-2C62-41D3-B6EB-683413D38B7E}" name="Item" dataDxfId="41"/>
    <tableColumn id="2" xr3:uid="{7B5CD6CC-9C6E-489C-8CCF-9A310B1B72BF}" name="Referencia" dataDxfId="40"/>
    <tableColumn id="3" xr3:uid="{4EC87CFF-B4D5-4B7C-87B7-0C2D7CBEC083}" name="Producto" dataDxfId="39"/>
    <tableColumn id="4" xr3:uid="{82711474-4AD5-4267-B92B-B260BF36C0DE}" name="Cantidad" dataDxfId="38"/>
    <tableColumn id="5" xr3:uid="{1D44C55B-0D2E-42A2-A4D1-25976A713EB9}" name="Precio Unit. sin IVA" dataDxfId="37"/>
    <tableColumn id="6" xr3:uid="{C2C5EE1B-D2E8-4138-81F8-E2FE2BC81B63}" name="% IVA" dataDxfId="36"/>
    <tableColumn id="7" xr3:uid="{5A79F1FB-9814-465E-B6F6-0C6866504CF7}" name="Precio Unit. con IVA" dataDxfId="35">
      <calculatedColumnFormula>E4*(1+F4)</calculatedColumnFormula>
    </tableColumn>
    <tableColumn id="8" xr3:uid="{420CA391-8558-4FF3-9BB8-395E74E73094}" name="Valor Total con IVA" dataDxfId="34">
      <calculatedColumnFormula>G4*D4</calculatedColumnFormula>
    </tableColumn>
    <tableColumn id="9" xr3:uid="{B175A882-161C-42EC-991B-6ECE7AFC6D64}" name="Precio Venta Sugerido (Unit., +40%)" dataDxfId="33">
      <calculatedColumnFormula>G4*(1+$M$1)</calculatedColumnFormula>
    </tableColumn>
    <tableColumn id="10" xr3:uid="{DB82648B-4991-43A8-B27C-2E94AAC2F540}" name="Valor Venta Total Sugerido" dataDxfId="32">
      <calculatedColumnFormula>I4*D4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EDD601-0654-4060-87E9-22A5DBDB725D}" name="Tabla2" displayName="Tabla2" ref="A4:J21" totalsRowShown="0" headerRowDxfId="31" dataDxfId="29" headerRowBorderDxfId="30" tableBorderDxfId="28" totalsRowBorderDxfId="27">
  <autoFilter ref="A4:J21" xr:uid="{BFEDD601-0654-4060-87E9-22A5DBDB725D}"/>
  <tableColumns count="10">
    <tableColumn id="1" xr3:uid="{FE59E9DE-9059-4343-8655-DF2EE91E571C}" name="Fecha" dataDxfId="26"/>
    <tableColumn id="2" xr3:uid="{4F5973E2-7A37-41F2-A788-F73D95A81861}" name="Referencia" dataDxfId="25"/>
    <tableColumn id="3" xr3:uid="{0702DED6-B914-4370-95B1-7E628AA268D4}" name="Producto" dataDxfId="24">
      <calculatedColumnFormula>IFERROR(INDEX('Productos Factura FVE150174'!$C$4:$C$26,MATCH(B5,'Productos Factura FVE150174'!$B$4:$B$26,0)),"")</calculatedColumnFormula>
    </tableColumn>
    <tableColumn id="4" xr3:uid="{A5C44F7C-9A1F-4143-B1C0-21715DCC543E}" name="Costo Unit. (con IVA)" dataDxfId="7">
      <calculatedColumnFormula>IFERROR(_xlfn.XLOOKUP(Tabla2[[#This Row],[Referencia]], Tabla1[Referencia], Tabla1[Precio Unit. con IVA]), "0")</calculatedColumnFormula>
    </tableColumn>
    <tableColumn id="5" xr3:uid="{51BEC057-80DF-4BEA-AD27-B92184B5AB40}" name="Cantidad Vendida" dataDxfId="13"/>
    <tableColumn id="6" xr3:uid="{11EF883A-4254-41AF-BE53-9BB5F0B8B0BE}" name="Precio Venta Unitario" dataDxfId="14">
      <calculatedColumnFormula>Tabla2[[#This Row],[Cantidad Vendida]]*Tabla2[[#This Row],[Costo Unit. (con IVA)]]</calculatedColumnFormula>
    </tableColumn>
    <tableColumn id="7" xr3:uid="{961E19DA-DE0F-465A-9F33-296D9DD0CA43}" name="Valor Venta Total" dataDxfId="23">
      <calculatedColumnFormula>IF(AND(E5&lt;&gt;"",F5&lt;&gt;""),E5*F5,"")</calculatedColumnFormula>
    </tableColumn>
    <tableColumn id="8" xr3:uid="{F0BED940-982B-493B-95A9-52B0DDF78378}" name="Costo Total" dataDxfId="22">
      <calculatedColumnFormula>IF(AND(D5&lt;&gt;"",E5&lt;&gt;""),D5*E5,"")</calculatedColumnFormula>
    </tableColumn>
    <tableColumn id="9" xr3:uid="{F01CF118-1EE1-4CBE-8CC2-BE76A45CF378}" name="Ganancia" dataDxfId="21">
      <calculatedColumnFormula>IF(AND(G5&lt;&gt;"",H5&lt;&gt;""),G5-H5,"")</calculatedColumnFormula>
    </tableColumn>
    <tableColumn id="10" xr3:uid="{1BFC2F7E-D1FB-4C86-BD43-4E43A9E37180}" name="Margen " dataDxfId="20">
      <calculatedColumnFormula>Tabla2[[#This Row],[Ganancia]]/2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31965F-BC46-4ECF-8EC9-ED2D718BB860}" name="Tabla3" displayName="Tabla3" ref="B4:H28" totalsRowCount="1" headerRowDxfId="16" headerRowBorderDxfId="18" tableBorderDxfId="19">
  <autoFilter ref="B4:H27" xr:uid="{9B31965F-BC46-4ECF-8EC9-ED2D718BB860}"/>
  <tableColumns count="7">
    <tableColumn id="1" xr3:uid="{B6ADB217-978A-4179-A73D-12FFFDEC7EAC}" name="Referencia" dataDxfId="17" totalsRowDxfId="6"/>
    <tableColumn id="2" xr3:uid="{BF0D50C4-630F-4A6F-8313-CD00ADAFDAEA}" name="Producto" dataDxfId="15" totalsRowDxfId="5"/>
    <tableColumn id="3" xr3:uid="{F1C60C4F-BD84-4A33-A898-A194A51EE840}" name="Cantidad" totalsRowFunction="custom" dataDxfId="12" totalsRowDxfId="4">
      <totalsRowFormula>SUM(Tabla3[Cantidad])</totalsRowFormula>
    </tableColumn>
    <tableColumn id="4" xr3:uid="{E4198224-FBA1-44CC-BE1B-834CA2EACF34}" name="Cantidad Vendida" totalsRowFunction="custom" dataDxfId="11" totalsRowDxfId="3">
      <calculatedColumnFormula>IFERROR(_xlfn.XLOOKUP(Tabla3[[#This Row],[Referencia]], Tabla2[Referencia], Tabla2[Cantidad Vendida]), "0")</calculatedColumnFormula>
      <totalsRowFormula>SUM(Tabla3[Cantidad Vendida])</totalsRowFormula>
    </tableColumn>
    <tableColumn id="5" xr3:uid="{FCEB576E-E4F5-4B5A-AF6E-7D5B50DEA51C}" name="Cantidad Disponible" totalsRowFunction="custom" dataDxfId="10" totalsRowDxfId="2">
      <calculatedColumnFormula>Tabla3[[#This Row],[Cantidad]]-Tabla3[[#This Row],[Cantidad Vendida]]</calculatedColumnFormula>
      <totalsRowFormula>SUM(Tabla3[Cantidad Disponible])</totalsRowFormula>
    </tableColumn>
    <tableColumn id="6" xr3:uid="{54B61CCB-0A56-4F73-AA77-DF0CBB0ED33C}" name="Precio Unit. con IVA" dataDxfId="8" totalsRowDxfId="1" dataCellStyle="Moneda">
      <calculatedColumnFormula>_xlfn.XLOOKUP(Tabla3[[#This Row],[Referencia]],Tabla1[Referencia],Tabla1[Precio Unit. con IVA])</calculatedColumnFormula>
    </tableColumn>
    <tableColumn id="7" xr3:uid="{6260D5B6-CAFF-4714-80C1-B09C4014DF9F}" name="Valor Total con IVA" totalsRowFunction="custom" dataDxfId="9" totalsRowDxfId="0">
      <calculatedColumnFormula>Tabla3[[#This Row],[Precio Unit. con IVA]]*Tabla3[[#This Row],[Cantidad Disponible]]</calculatedColumnFormula>
      <totalsRowFormula>SUM(Tabla3[Valor Total con IVA])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zoomScale="85" zoomScaleNormal="85" workbookViewId="0">
      <pane ySplit="3" topLeftCell="A4" activePane="bottomLeft" state="frozen"/>
      <selection pane="bottomLeft" activeCell="D4" sqref="D4"/>
    </sheetView>
  </sheetViews>
  <sheetFormatPr baseColWidth="10" defaultColWidth="8.6640625" defaultRowHeight="14.4" x14ac:dyDescent="0.3"/>
  <cols>
    <col min="1" max="1" width="6.5546875" style="1" customWidth="1"/>
    <col min="2" max="2" width="12.109375" style="1" customWidth="1"/>
    <col min="3" max="3" width="42" style="1" customWidth="1"/>
    <col min="4" max="4" width="10.6640625" style="1" customWidth="1"/>
    <col min="5" max="5" width="22.109375" style="1" customWidth="1"/>
    <col min="6" max="6" width="8.109375" style="1" customWidth="1"/>
    <col min="7" max="7" width="20.33203125" style="1" customWidth="1"/>
    <col min="8" max="8" width="22.5546875" style="1" customWidth="1"/>
    <col min="9" max="9" width="34.44140625" style="1" customWidth="1"/>
    <col min="10" max="10" width="26.33203125" style="1" customWidth="1"/>
    <col min="12" max="12" width="13.21875" customWidth="1"/>
  </cols>
  <sheetData>
    <row r="1" spans="1:13" ht="24" customHeigh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L1" s="2" t="s">
        <v>1</v>
      </c>
      <c r="M1" s="3">
        <v>0.4</v>
      </c>
    </row>
    <row r="3" spans="1:13" ht="15" customHeight="1" x14ac:dyDescent="0.3">
      <c r="A3" s="16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8" t="s">
        <v>11</v>
      </c>
    </row>
    <row r="4" spans="1:13" ht="15" customHeight="1" x14ac:dyDescent="0.3">
      <c r="A4" s="14">
        <v>1</v>
      </c>
      <c r="B4" s="4" t="s">
        <v>12</v>
      </c>
      <c r="C4" s="5" t="s">
        <v>13</v>
      </c>
      <c r="D4" s="4">
        <v>2</v>
      </c>
      <c r="E4" s="6">
        <v>39200</v>
      </c>
      <c r="F4" s="7">
        <v>0.19</v>
      </c>
      <c r="G4" s="6">
        <f t="shared" ref="G4:G26" si="0">E4*(1+F4)</f>
        <v>46648</v>
      </c>
      <c r="H4" s="6">
        <f>G4*D4</f>
        <v>93296</v>
      </c>
      <c r="I4" s="6">
        <f t="shared" ref="I4:I26" si="1">G4*(1+$M$1)</f>
        <v>65307.199999999997</v>
      </c>
      <c r="J4" s="15">
        <f t="shared" ref="J4:J26" si="2">I4*D4</f>
        <v>130614.39999999999</v>
      </c>
    </row>
    <row r="5" spans="1:13" ht="15" customHeight="1" x14ac:dyDescent="0.3">
      <c r="A5" s="14">
        <v>2</v>
      </c>
      <c r="B5" s="4" t="s">
        <v>14</v>
      </c>
      <c r="C5" s="5" t="s">
        <v>15</v>
      </c>
      <c r="D5" s="4">
        <v>1</v>
      </c>
      <c r="E5" s="6">
        <v>39200</v>
      </c>
      <c r="F5" s="7">
        <v>0.19</v>
      </c>
      <c r="G5" s="6">
        <f t="shared" si="0"/>
        <v>46648</v>
      </c>
      <c r="H5" s="6">
        <f t="shared" ref="H4:H26" si="3">G5*D5</f>
        <v>46648</v>
      </c>
      <c r="I5" s="6">
        <f t="shared" si="1"/>
        <v>65307.199999999997</v>
      </c>
      <c r="J5" s="15">
        <f t="shared" si="2"/>
        <v>65307.199999999997</v>
      </c>
    </row>
    <row r="6" spans="1:13" ht="15" customHeight="1" x14ac:dyDescent="0.3">
      <c r="A6" s="14">
        <v>3</v>
      </c>
      <c r="B6" s="4" t="s">
        <v>16</v>
      </c>
      <c r="C6" s="5" t="s">
        <v>17</v>
      </c>
      <c r="D6" s="4">
        <v>1</v>
      </c>
      <c r="E6" s="6">
        <v>28800</v>
      </c>
      <c r="F6" s="7">
        <v>0.19</v>
      </c>
      <c r="G6" s="6">
        <f t="shared" si="0"/>
        <v>34272</v>
      </c>
      <c r="H6" s="6">
        <f t="shared" si="3"/>
        <v>34272</v>
      </c>
      <c r="I6" s="6">
        <f t="shared" si="1"/>
        <v>47980.799999999996</v>
      </c>
      <c r="J6" s="15">
        <f t="shared" si="2"/>
        <v>47980.799999999996</v>
      </c>
    </row>
    <row r="7" spans="1:13" ht="15" customHeight="1" x14ac:dyDescent="0.3">
      <c r="A7" s="14">
        <v>4</v>
      </c>
      <c r="B7" s="4" t="s">
        <v>18</v>
      </c>
      <c r="C7" s="5" t="s">
        <v>19</v>
      </c>
      <c r="D7" s="4">
        <v>2</v>
      </c>
      <c r="E7" s="6">
        <v>28800</v>
      </c>
      <c r="F7" s="7">
        <v>0.19</v>
      </c>
      <c r="G7" s="6">
        <f t="shared" si="0"/>
        <v>34272</v>
      </c>
      <c r="H7" s="6">
        <f t="shared" si="3"/>
        <v>68544</v>
      </c>
      <c r="I7" s="6">
        <f t="shared" si="1"/>
        <v>47980.799999999996</v>
      </c>
      <c r="J7" s="15">
        <f t="shared" si="2"/>
        <v>95961.599999999991</v>
      </c>
    </row>
    <row r="8" spans="1:13" ht="15" customHeight="1" x14ac:dyDescent="0.3">
      <c r="A8" s="14">
        <v>5</v>
      </c>
      <c r="B8" s="4" t="s">
        <v>20</v>
      </c>
      <c r="C8" s="5" t="s">
        <v>21</v>
      </c>
      <c r="D8" s="4">
        <v>1</v>
      </c>
      <c r="E8" s="6">
        <v>23200</v>
      </c>
      <c r="F8" s="7">
        <v>0.19</v>
      </c>
      <c r="G8" s="6">
        <f t="shared" si="0"/>
        <v>27608</v>
      </c>
      <c r="H8" s="6">
        <f t="shared" si="3"/>
        <v>27608</v>
      </c>
      <c r="I8" s="6">
        <f t="shared" si="1"/>
        <v>38651.199999999997</v>
      </c>
      <c r="J8" s="15">
        <f t="shared" si="2"/>
        <v>38651.199999999997</v>
      </c>
    </row>
    <row r="9" spans="1:13" ht="15" customHeight="1" x14ac:dyDescent="0.3">
      <c r="A9" s="14">
        <v>6</v>
      </c>
      <c r="B9" s="4" t="s">
        <v>22</v>
      </c>
      <c r="C9" s="5" t="s">
        <v>23</v>
      </c>
      <c r="D9" s="4">
        <v>1</v>
      </c>
      <c r="E9" s="6">
        <v>23200</v>
      </c>
      <c r="F9" s="7">
        <v>0.19</v>
      </c>
      <c r="G9" s="6">
        <f t="shared" si="0"/>
        <v>27608</v>
      </c>
      <c r="H9" s="6">
        <f t="shared" si="3"/>
        <v>27608</v>
      </c>
      <c r="I9" s="6">
        <f t="shared" si="1"/>
        <v>38651.199999999997</v>
      </c>
      <c r="J9" s="15">
        <f t="shared" si="2"/>
        <v>38651.199999999997</v>
      </c>
    </row>
    <row r="10" spans="1:13" ht="15" customHeight="1" x14ac:dyDescent="0.3">
      <c r="A10" s="14">
        <v>7</v>
      </c>
      <c r="B10" s="4" t="s">
        <v>24</v>
      </c>
      <c r="C10" s="5" t="s">
        <v>25</v>
      </c>
      <c r="D10" s="4">
        <v>1</v>
      </c>
      <c r="E10" s="6">
        <v>104800</v>
      </c>
      <c r="F10" s="7">
        <v>0.19</v>
      </c>
      <c r="G10" s="6">
        <f t="shared" si="0"/>
        <v>124712</v>
      </c>
      <c r="H10" s="6">
        <f t="shared" si="3"/>
        <v>124712</v>
      </c>
      <c r="I10" s="6">
        <f t="shared" si="1"/>
        <v>174596.8</v>
      </c>
      <c r="J10" s="15">
        <f t="shared" si="2"/>
        <v>174596.8</v>
      </c>
    </row>
    <row r="11" spans="1:13" ht="15" customHeight="1" x14ac:dyDescent="0.3">
      <c r="A11" s="14">
        <v>8</v>
      </c>
      <c r="B11" s="4" t="s">
        <v>26</v>
      </c>
      <c r="C11" s="5" t="s">
        <v>27</v>
      </c>
      <c r="D11" s="4">
        <v>1</v>
      </c>
      <c r="E11" s="6">
        <v>72800</v>
      </c>
      <c r="F11" s="7">
        <v>0.19</v>
      </c>
      <c r="G11" s="6">
        <f>E11*(1+F11)</f>
        <v>86632</v>
      </c>
      <c r="H11" s="6">
        <f t="shared" si="3"/>
        <v>86632</v>
      </c>
      <c r="I11" s="6">
        <f t="shared" si="1"/>
        <v>121284.79999999999</v>
      </c>
      <c r="J11" s="15">
        <f t="shared" si="2"/>
        <v>121284.79999999999</v>
      </c>
    </row>
    <row r="12" spans="1:13" ht="15" customHeight="1" x14ac:dyDescent="0.3">
      <c r="A12" s="14">
        <v>9</v>
      </c>
      <c r="B12" s="4" t="s">
        <v>28</v>
      </c>
      <c r="C12" s="5" t="s">
        <v>29</v>
      </c>
      <c r="D12" s="4">
        <v>1</v>
      </c>
      <c r="E12" s="6">
        <v>31200</v>
      </c>
      <c r="F12" s="7">
        <v>0.19</v>
      </c>
      <c r="G12" s="6">
        <f t="shared" si="0"/>
        <v>37128</v>
      </c>
      <c r="H12" s="6">
        <f t="shared" si="3"/>
        <v>37128</v>
      </c>
      <c r="I12" s="6">
        <f t="shared" si="1"/>
        <v>51979.199999999997</v>
      </c>
      <c r="J12" s="15">
        <f t="shared" si="2"/>
        <v>51979.199999999997</v>
      </c>
    </row>
    <row r="13" spans="1:13" ht="15" customHeight="1" x14ac:dyDescent="0.3">
      <c r="A13" s="14">
        <v>10</v>
      </c>
      <c r="B13" s="4" t="s">
        <v>30</v>
      </c>
      <c r="C13" s="5" t="s">
        <v>31</v>
      </c>
      <c r="D13" s="4">
        <v>1</v>
      </c>
      <c r="E13" s="6">
        <v>31200</v>
      </c>
      <c r="F13" s="7">
        <v>0.19</v>
      </c>
      <c r="G13" s="6">
        <f t="shared" si="0"/>
        <v>37128</v>
      </c>
      <c r="H13" s="6">
        <f t="shared" si="3"/>
        <v>37128</v>
      </c>
      <c r="I13" s="6">
        <f t="shared" si="1"/>
        <v>51979.199999999997</v>
      </c>
      <c r="J13" s="15">
        <f t="shared" si="2"/>
        <v>51979.199999999997</v>
      </c>
    </row>
    <row r="14" spans="1:13" ht="23.25" customHeight="1" x14ac:dyDescent="0.3">
      <c r="A14" s="14">
        <v>11</v>
      </c>
      <c r="B14" s="4" t="s">
        <v>32</v>
      </c>
      <c r="C14" s="5" t="s">
        <v>33</v>
      </c>
      <c r="D14" s="4">
        <v>6</v>
      </c>
      <c r="E14" s="6">
        <v>5600</v>
      </c>
      <c r="F14" s="7">
        <v>0.19</v>
      </c>
      <c r="G14" s="6">
        <f t="shared" si="0"/>
        <v>6664</v>
      </c>
      <c r="H14" s="6">
        <f t="shared" si="3"/>
        <v>39984</v>
      </c>
      <c r="I14" s="6">
        <f t="shared" si="1"/>
        <v>9329.5999999999985</v>
      </c>
      <c r="J14" s="15">
        <f t="shared" si="2"/>
        <v>55977.599999999991</v>
      </c>
    </row>
    <row r="15" spans="1:13" ht="23.25" customHeight="1" x14ac:dyDescent="0.3">
      <c r="A15" s="14">
        <v>12</v>
      </c>
      <c r="B15" s="4" t="s">
        <v>34</v>
      </c>
      <c r="C15" s="5" t="s">
        <v>35</v>
      </c>
      <c r="D15" s="4">
        <v>6</v>
      </c>
      <c r="E15" s="6">
        <v>5600</v>
      </c>
      <c r="F15" s="7">
        <v>0.19</v>
      </c>
      <c r="G15" s="6">
        <f t="shared" si="0"/>
        <v>6664</v>
      </c>
      <c r="H15" s="6">
        <f t="shared" si="3"/>
        <v>39984</v>
      </c>
      <c r="I15" s="6">
        <f t="shared" si="1"/>
        <v>9329.5999999999985</v>
      </c>
      <c r="J15" s="15">
        <f t="shared" si="2"/>
        <v>55977.599999999991</v>
      </c>
    </row>
    <row r="16" spans="1:13" ht="15" customHeight="1" x14ac:dyDescent="0.3">
      <c r="A16" s="14">
        <v>13</v>
      </c>
      <c r="B16" s="4" t="s">
        <v>36</v>
      </c>
      <c r="C16" s="5" t="s">
        <v>37</v>
      </c>
      <c r="D16" s="4">
        <v>4</v>
      </c>
      <c r="E16" s="6">
        <v>78400</v>
      </c>
      <c r="F16" s="7">
        <v>0.19</v>
      </c>
      <c r="G16" s="6">
        <f t="shared" si="0"/>
        <v>93296</v>
      </c>
      <c r="H16" s="6">
        <f t="shared" si="3"/>
        <v>373184</v>
      </c>
      <c r="I16" s="6">
        <f t="shared" si="1"/>
        <v>130614.39999999999</v>
      </c>
      <c r="J16" s="15">
        <f t="shared" si="2"/>
        <v>522457.59999999998</v>
      </c>
    </row>
    <row r="17" spans="1:10" ht="23.25" customHeight="1" x14ac:dyDescent="0.3">
      <c r="A17" s="14">
        <v>14</v>
      </c>
      <c r="B17" s="4" t="s">
        <v>38</v>
      </c>
      <c r="C17" s="5" t="s">
        <v>39</v>
      </c>
      <c r="D17" s="4">
        <v>2</v>
      </c>
      <c r="E17" s="6">
        <v>12800</v>
      </c>
      <c r="F17" s="7">
        <v>0.19</v>
      </c>
      <c r="G17" s="6">
        <f t="shared" si="0"/>
        <v>15232</v>
      </c>
      <c r="H17" s="6">
        <f t="shared" si="3"/>
        <v>30464</v>
      </c>
      <c r="I17" s="6">
        <f t="shared" si="1"/>
        <v>21324.799999999999</v>
      </c>
      <c r="J17" s="15">
        <f t="shared" si="2"/>
        <v>42649.599999999999</v>
      </c>
    </row>
    <row r="18" spans="1:10" ht="23.25" customHeight="1" x14ac:dyDescent="0.3">
      <c r="A18" s="14">
        <v>15</v>
      </c>
      <c r="B18" s="4" t="s">
        <v>40</v>
      </c>
      <c r="C18" s="5" t="s">
        <v>41</v>
      </c>
      <c r="D18" s="4">
        <v>2</v>
      </c>
      <c r="E18" s="6">
        <v>12800</v>
      </c>
      <c r="F18" s="7">
        <v>0.19</v>
      </c>
      <c r="G18" s="6">
        <f t="shared" si="0"/>
        <v>15232</v>
      </c>
      <c r="H18" s="6">
        <f t="shared" si="3"/>
        <v>30464</v>
      </c>
      <c r="I18" s="6">
        <f t="shared" si="1"/>
        <v>21324.799999999999</v>
      </c>
      <c r="J18" s="15">
        <f t="shared" si="2"/>
        <v>42649.599999999999</v>
      </c>
    </row>
    <row r="19" spans="1:10" ht="15" customHeight="1" x14ac:dyDescent="0.3">
      <c r="A19" s="14">
        <v>16</v>
      </c>
      <c r="B19" s="4" t="s">
        <v>42</v>
      </c>
      <c r="C19" s="5" t="s">
        <v>43</v>
      </c>
      <c r="D19" s="4">
        <v>1</v>
      </c>
      <c r="E19" s="6">
        <v>56000</v>
      </c>
      <c r="F19" s="7">
        <v>0.19</v>
      </c>
      <c r="G19" s="6">
        <f t="shared" si="0"/>
        <v>66640</v>
      </c>
      <c r="H19" s="6">
        <f t="shared" si="3"/>
        <v>66640</v>
      </c>
      <c r="I19" s="6">
        <f t="shared" si="1"/>
        <v>93296</v>
      </c>
      <c r="J19" s="15">
        <f t="shared" si="2"/>
        <v>93296</v>
      </c>
    </row>
    <row r="20" spans="1:10" ht="15" customHeight="1" x14ac:dyDescent="0.3">
      <c r="A20" s="14">
        <v>17</v>
      </c>
      <c r="B20" s="4" t="s">
        <v>44</v>
      </c>
      <c r="C20" s="5" t="s">
        <v>45</v>
      </c>
      <c r="D20" s="4">
        <v>1</v>
      </c>
      <c r="E20" s="6">
        <v>159200</v>
      </c>
      <c r="F20" s="7">
        <v>0.19</v>
      </c>
      <c r="G20" s="6">
        <f t="shared" si="0"/>
        <v>189448</v>
      </c>
      <c r="H20" s="6">
        <f t="shared" si="3"/>
        <v>189448</v>
      </c>
      <c r="I20" s="6">
        <f t="shared" si="1"/>
        <v>265227.2</v>
      </c>
      <c r="J20" s="15">
        <f t="shared" si="2"/>
        <v>265227.2</v>
      </c>
    </row>
    <row r="21" spans="1:10" ht="15" customHeight="1" x14ac:dyDescent="0.3">
      <c r="A21" s="14">
        <v>18</v>
      </c>
      <c r="B21" s="4" t="s">
        <v>46</v>
      </c>
      <c r="C21" s="5" t="s">
        <v>47</v>
      </c>
      <c r="D21" s="4">
        <v>1</v>
      </c>
      <c r="E21" s="6">
        <v>105600</v>
      </c>
      <c r="F21" s="7">
        <v>0.19</v>
      </c>
      <c r="G21" s="6">
        <f t="shared" si="0"/>
        <v>125664</v>
      </c>
      <c r="H21" s="6">
        <f t="shared" si="3"/>
        <v>125664</v>
      </c>
      <c r="I21" s="6">
        <f t="shared" si="1"/>
        <v>175929.59999999998</v>
      </c>
      <c r="J21" s="15">
        <f t="shared" si="2"/>
        <v>175929.59999999998</v>
      </c>
    </row>
    <row r="22" spans="1:10" ht="15" customHeight="1" x14ac:dyDescent="0.3">
      <c r="A22" s="14">
        <v>19</v>
      </c>
      <c r="B22" s="4" t="s">
        <v>48</v>
      </c>
      <c r="C22" s="5" t="s">
        <v>49</v>
      </c>
      <c r="D22" s="4">
        <v>1</v>
      </c>
      <c r="E22" s="6">
        <v>20800</v>
      </c>
      <c r="F22" s="7">
        <v>0.19</v>
      </c>
      <c r="G22" s="6">
        <f t="shared" si="0"/>
        <v>24752</v>
      </c>
      <c r="H22" s="6">
        <f t="shared" si="3"/>
        <v>24752</v>
      </c>
      <c r="I22" s="6">
        <f t="shared" si="1"/>
        <v>34652.799999999996</v>
      </c>
      <c r="J22" s="15">
        <f t="shared" si="2"/>
        <v>34652.799999999996</v>
      </c>
    </row>
    <row r="23" spans="1:10" ht="15" customHeight="1" x14ac:dyDescent="0.3">
      <c r="A23" s="14">
        <v>20</v>
      </c>
      <c r="B23" s="4" t="s">
        <v>50</v>
      </c>
      <c r="C23" s="5" t="s">
        <v>51</v>
      </c>
      <c r="D23" s="4">
        <v>6</v>
      </c>
      <c r="E23" s="6">
        <v>10400</v>
      </c>
      <c r="F23" s="7">
        <v>0.19</v>
      </c>
      <c r="G23" s="6">
        <f t="shared" si="0"/>
        <v>12376</v>
      </c>
      <c r="H23" s="6">
        <f t="shared" si="3"/>
        <v>74256</v>
      </c>
      <c r="I23" s="6">
        <f t="shared" si="1"/>
        <v>17326.399999999998</v>
      </c>
      <c r="J23" s="15">
        <f t="shared" si="2"/>
        <v>103958.39999999999</v>
      </c>
    </row>
    <row r="24" spans="1:10" ht="15" customHeight="1" x14ac:dyDescent="0.3">
      <c r="A24" s="14">
        <v>21</v>
      </c>
      <c r="B24" s="4" t="s">
        <v>52</v>
      </c>
      <c r="C24" s="5" t="s">
        <v>53</v>
      </c>
      <c r="D24" s="4">
        <v>3</v>
      </c>
      <c r="E24" s="6">
        <v>6400</v>
      </c>
      <c r="F24" s="7">
        <v>0.19</v>
      </c>
      <c r="G24" s="6">
        <f t="shared" si="0"/>
        <v>7616</v>
      </c>
      <c r="H24" s="6">
        <f t="shared" si="3"/>
        <v>22848</v>
      </c>
      <c r="I24" s="6">
        <f t="shared" si="1"/>
        <v>10662.4</v>
      </c>
      <c r="J24" s="15">
        <f t="shared" si="2"/>
        <v>31987.199999999997</v>
      </c>
    </row>
    <row r="25" spans="1:10" ht="23.25" customHeight="1" x14ac:dyDescent="0.3">
      <c r="A25" s="14">
        <v>22</v>
      </c>
      <c r="B25" s="4" t="s">
        <v>54</v>
      </c>
      <c r="C25" s="5" t="s">
        <v>55</v>
      </c>
      <c r="D25" s="4">
        <v>6</v>
      </c>
      <c r="E25" s="6">
        <v>4800</v>
      </c>
      <c r="F25" s="7">
        <v>0.19</v>
      </c>
      <c r="G25" s="6">
        <f t="shared" si="0"/>
        <v>5712</v>
      </c>
      <c r="H25" s="6">
        <f t="shared" si="3"/>
        <v>34272</v>
      </c>
      <c r="I25" s="6">
        <f t="shared" si="1"/>
        <v>7996.7999999999993</v>
      </c>
      <c r="J25" s="15">
        <f t="shared" si="2"/>
        <v>47980.799999999996</v>
      </c>
    </row>
    <row r="26" spans="1:10" ht="15" customHeight="1" x14ac:dyDescent="0.3">
      <c r="A26" s="19">
        <v>23</v>
      </c>
      <c r="B26" s="20" t="s">
        <v>56</v>
      </c>
      <c r="C26" s="21" t="s">
        <v>57</v>
      </c>
      <c r="D26" s="20">
        <v>1</v>
      </c>
      <c r="E26" s="22">
        <v>165830</v>
      </c>
      <c r="F26" s="23">
        <v>0.19</v>
      </c>
      <c r="G26" s="22">
        <f t="shared" si="0"/>
        <v>197337.69999999998</v>
      </c>
      <c r="H26" s="22">
        <f t="shared" si="3"/>
        <v>197337.69999999998</v>
      </c>
      <c r="I26" s="22">
        <f t="shared" si="1"/>
        <v>276272.77999999997</v>
      </c>
      <c r="J26" s="24">
        <f t="shared" si="2"/>
        <v>276272.77999999997</v>
      </c>
    </row>
    <row r="27" spans="1:10" ht="15" customHeight="1" x14ac:dyDescent="0.3">
      <c r="A27" s="8"/>
      <c r="B27" s="8"/>
      <c r="C27" s="9" t="s">
        <v>58</v>
      </c>
      <c r="D27" s="10">
        <f>SUM(D4:D26)</f>
        <v>52</v>
      </c>
      <c r="E27" s="8"/>
      <c r="F27" s="8"/>
      <c r="G27" s="8"/>
      <c r="H27" s="11">
        <f>SUM(H4:H26)</f>
        <v>1832873.7</v>
      </c>
      <c r="I27" s="8"/>
      <c r="J27" s="11">
        <f>SUM(J4:J26)</f>
        <v>2566023.1799999992</v>
      </c>
    </row>
    <row r="29" spans="1:10" ht="60" customHeight="1" x14ac:dyDescent="0.3">
      <c r="A29" s="43" t="s">
        <v>59</v>
      </c>
      <c r="B29" s="43"/>
      <c r="C29" s="43"/>
      <c r="D29" s="43"/>
      <c r="E29" s="43"/>
      <c r="F29" s="43"/>
      <c r="G29" s="43"/>
      <c r="H29" s="43"/>
      <c r="I29" s="43"/>
      <c r="J29" s="43"/>
    </row>
  </sheetData>
  <mergeCells count="2">
    <mergeCell ref="A1:J1"/>
    <mergeCell ref="A29:J29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zoomScaleNormal="100" workbookViewId="0">
      <pane ySplit="4" topLeftCell="A8" activePane="bottomLeft" state="frozen"/>
      <selection pane="bottomLeft" activeCell="E25" sqref="E25"/>
    </sheetView>
  </sheetViews>
  <sheetFormatPr baseColWidth="10" defaultColWidth="8.6640625" defaultRowHeight="14.4" x14ac:dyDescent="0.3"/>
  <cols>
    <col min="1" max="1" width="12" customWidth="1"/>
    <col min="2" max="2" width="12.109375" customWidth="1"/>
    <col min="3" max="3" width="40" customWidth="1"/>
    <col min="4" max="4" width="21.33203125" customWidth="1"/>
    <col min="5" max="5" width="18.21875" customWidth="1"/>
    <col min="6" max="6" width="21.44140625" customWidth="1"/>
    <col min="7" max="7" width="17.88671875" customWidth="1"/>
    <col min="8" max="9" width="14" customWidth="1"/>
    <col min="10" max="10" width="16.44140625" customWidth="1"/>
  </cols>
  <sheetData>
    <row r="1" spans="1:10" ht="24" customHeight="1" x14ac:dyDescent="0.3">
      <c r="A1" s="42" t="s">
        <v>60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7.75" customHeight="1" x14ac:dyDescent="0.3">
      <c r="A2" s="44" t="s">
        <v>61</v>
      </c>
      <c r="B2" s="44"/>
      <c r="C2" s="44"/>
      <c r="D2" s="44"/>
      <c r="E2" s="44"/>
      <c r="F2" s="44"/>
      <c r="G2" s="44"/>
      <c r="H2" s="44"/>
      <c r="I2" s="44"/>
      <c r="J2" s="44"/>
    </row>
    <row r="4" spans="1:10" x14ac:dyDescent="0.3">
      <c r="A4" s="35" t="s">
        <v>62</v>
      </c>
      <c r="B4" s="36" t="s">
        <v>3</v>
      </c>
      <c r="C4" s="36" t="s">
        <v>4</v>
      </c>
      <c r="D4" s="36" t="s">
        <v>63</v>
      </c>
      <c r="E4" s="36" t="s">
        <v>64</v>
      </c>
      <c r="F4" s="36" t="s">
        <v>65</v>
      </c>
      <c r="G4" s="36" t="s">
        <v>66</v>
      </c>
      <c r="H4" s="36" t="s">
        <v>67</v>
      </c>
      <c r="I4" s="36" t="s">
        <v>68</v>
      </c>
      <c r="J4" s="37" t="s">
        <v>69</v>
      </c>
    </row>
    <row r="5" spans="1:10" x14ac:dyDescent="0.3">
      <c r="A5" s="25">
        <v>46286</v>
      </c>
      <c r="B5" s="38" t="s">
        <v>44</v>
      </c>
      <c r="C5" s="27" t="s">
        <v>45</v>
      </c>
      <c r="D5" s="28">
        <f>IFERROR(_xlfn.XLOOKUP(Tabla2[[#This Row],[Referencia]], Tabla1[Referencia], Tabla1[Precio Unit. con IVA]), "0")</f>
        <v>189448</v>
      </c>
      <c r="E5" s="49">
        <v>1</v>
      </c>
      <c r="F5" s="29">
        <v>300000</v>
      </c>
      <c r="G5" s="28">
        <v>300000</v>
      </c>
      <c r="H5" s="28">
        <f>IF(AND(D5&lt;&gt;"",E5&lt;&gt;""),D5*E5,"")</f>
        <v>189448</v>
      </c>
      <c r="I5" s="28">
        <f>IF(AND(G5&lt;&gt;"",H5&lt;&gt;""),G5-H5,"")</f>
        <v>110552</v>
      </c>
      <c r="J5" s="39">
        <f>Tabla2[[#This Row],[Ganancia]]/2</f>
        <v>55276</v>
      </c>
    </row>
    <row r="6" spans="1:10" x14ac:dyDescent="0.3">
      <c r="A6" s="25">
        <v>46286</v>
      </c>
      <c r="B6" s="20" t="s">
        <v>56</v>
      </c>
      <c r="C6" s="21" t="s">
        <v>57</v>
      </c>
      <c r="D6" s="28">
        <f>IFERROR(_xlfn.XLOOKUP(Tabla2[[#This Row],[Referencia]], Tabla1[Referencia], Tabla1[Precio Unit. con IVA]), "0")</f>
        <v>197337.69999999998</v>
      </c>
      <c r="E6" s="49">
        <v>1</v>
      </c>
      <c r="F6" s="29">
        <v>250000</v>
      </c>
      <c r="G6" s="28">
        <f>IF(AND(E6&lt;&gt;"",F6&lt;&gt;""),E6*F6,"")</f>
        <v>250000</v>
      </c>
      <c r="H6" s="28">
        <f t="shared" ref="H6:H21" si="0">IF(AND(D6&lt;&gt;"",E6&lt;&gt;""),D6*E6,"")</f>
        <v>197337.69999999998</v>
      </c>
      <c r="I6" s="28">
        <f t="shared" ref="I6:I12" si="1">IF(AND(G6&lt;&gt;"",H6&lt;&gt;""),G6-H6,"")</f>
        <v>52662.300000000017</v>
      </c>
      <c r="J6" s="39">
        <f>Tabla2[[#This Row],[Ganancia]]/2</f>
        <v>26331.150000000009</v>
      </c>
    </row>
    <row r="7" spans="1:10" ht="26.4" x14ac:dyDescent="0.3">
      <c r="A7" s="25">
        <v>46291</v>
      </c>
      <c r="B7" s="4" t="s">
        <v>20</v>
      </c>
      <c r="C7" s="5" t="s">
        <v>21</v>
      </c>
      <c r="D7" s="28">
        <f>IFERROR(_xlfn.XLOOKUP(Tabla2[[#This Row],[Referencia]], Tabla1[Referencia], Tabla1[Precio Unit. con IVA]), "0")</f>
        <v>27608</v>
      </c>
      <c r="E7" s="49">
        <v>1</v>
      </c>
      <c r="F7" s="29">
        <v>35000</v>
      </c>
      <c r="G7" s="28">
        <f>IF(AND(E7&lt;&gt;"",F7&lt;&gt;""),E7*F7,"")</f>
        <v>35000</v>
      </c>
      <c r="H7" s="28">
        <f t="shared" si="0"/>
        <v>27608</v>
      </c>
      <c r="I7" s="28">
        <f t="shared" si="1"/>
        <v>7392</v>
      </c>
      <c r="J7" s="39">
        <f>Tabla2[[#This Row],[Ganancia]]/2</f>
        <v>3696</v>
      </c>
    </row>
    <row r="8" spans="1:10" ht="26.4" x14ac:dyDescent="0.3">
      <c r="A8" s="25">
        <v>46292</v>
      </c>
      <c r="B8" s="4" t="s">
        <v>22</v>
      </c>
      <c r="C8" s="5" t="s">
        <v>23</v>
      </c>
      <c r="D8" s="28">
        <f>IFERROR(_xlfn.XLOOKUP(Tabla2[[#This Row],[Referencia]], Tabla1[Referencia], Tabla1[Precio Unit. con IVA]), "0")</f>
        <v>27608</v>
      </c>
      <c r="E8" s="49">
        <v>1</v>
      </c>
      <c r="F8" s="29">
        <v>35000</v>
      </c>
      <c r="G8" s="28">
        <f>IF(AND(E8&lt;&gt;"",F8&lt;&gt;""),E8*F8,"")</f>
        <v>35000</v>
      </c>
      <c r="H8" s="28">
        <f t="shared" si="0"/>
        <v>27608</v>
      </c>
      <c r="I8" s="28">
        <f t="shared" si="1"/>
        <v>7392</v>
      </c>
      <c r="J8" s="39">
        <f>Tabla2[[#This Row],[Ganancia]]/2</f>
        <v>3696</v>
      </c>
    </row>
    <row r="9" spans="1:10" ht="26.4" x14ac:dyDescent="0.3">
      <c r="A9" s="41">
        <v>46293</v>
      </c>
      <c r="B9" s="4" t="s">
        <v>54</v>
      </c>
      <c r="C9" s="5" t="s">
        <v>55</v>
      </c>
      <c r="D9" s="28">
        <f>IFERROR(_xlfn.XLOOKUP(Tabla2[[#This Row],[Referencia]], Tabla1[Referencia], Tabla1[Precio Unit. con IVA]), "0")</f>
        <v>5712</v>
      </c>
      <c r="E9" s="49">
        <v>1</v>
      </c>
      <c r="F9" s="29">
        <v>15000</v>
      </c>
      <c r="G9" s="28">
        <f t="shared" ref="G9:G21" si="2">IF(AND(E9&lt;&gt;"",F9&lt;&gt;""),E9*F9,"")</f>
        <v>15000</v>
      </c>
      <c r="H9" s="28">
        <f t="shared" si="0"/>
        <v>5712</v>
      </c>
      <c r="I9" s="28">
        <f t="shared" si="1"/>
        <v>9288</v>
      </c>
      <c r="J9" s="39">
        <f>Tabla2[[#This Row],[Ganancia]]/2</f>
        <v>4644</v>
      </c>
    </row>
    <row r="10" spans="1:10" x14ac:dyDescent="0.3">
      <c r="A10" s="25">
        <v>46297</v>
      </c>
      <c r="B10" s="4" t="s">
        <v>46</v>
      </c>
      <c r="C10" s="5" t="s">
        <v>47</v>
      </c>
      <c r="D10" s="28">
        <f>IFERROR(_xlfn.XLOOKUP(Tabla2[[#This Row],[Referencia]], Tabla1[Referencia], Tabla1[Precio Unit. con IVA]), "0")</f>
        <v>125664</v>
      </c>
      <c r="E10" s="49">
        <v>1</v>
      </c>
      <c r="F10" s="29">
        <v>200000</v>
      </c>
      <c r="G10" s="28">
        <f>IF(AND(E10&lt;&gt;"",F10&lt;&gt;""),E10*F10,"")</f>
        <v>200000</v>
      </c>
      <c r="H10" s="28">
        <f>IF(AND(D10&lt;&gt;"",E10&lt;&gt;""),D10*E10,"")</f>
        <v>125664</v>
      </c>
      <c r="I10" s="28">
        <f t="shared" si="1"/>
        <v>74336</v>
      </c>
      <c r="J10" s="39">
        <f>Tabla2[[#This Row],[Ganancia]]/2</f>
        <v>37168</v>
      </c>
    </row>
    <row r="11" spans="1:10" x14ac:dyDescent="0.3">
      <c r="A11" s="25">
        <v>46301</v>
      </c>
      <c r="B11" s="4" t="s">
        <v>50</v>
      </c>
      <c r="C11" s="5" t="s">
        <v>51</v>
      </c>
      <c r="D11" s="28">
        <f>IFERROR(_xlfn.XLOOKUP(Tabla2[[#This Row],[Referencia]], Tabla1[Referencia], Tabla1[Precio Unit. con IVA]), "0")</f>
        <v>12376</v>
      </c>
      <c r="E11" s="49">
        <v>1</v>
      </c>
      <c r="F11" s="29">
        <v>30000</v>
      </c>
      <c r="G11" s="28">
        <f t="shared" si="2"/>
        <v>30000</v>
      </c>
      <c r="H11" s="28">
        <f t="shared" si="0"/>
        <v>12376</v>
      </c>
      <c r="I11" s="28">
        <f t="shared" si="1"/>
        <v>17624</v>
      </c>
      <c r="J11" s="39">
        <f>Tabla2[[#This Row],[Ganancia]]/2</f>
        <v>8812</v>
      </c>
    </row>
    <row r="12" spans="1:10" ht="26.4" x14ac:dyDescent="0.3">
      <c r="A12" s="25">
        <v>46301</v>
      </c>
      <c r="B12" s="4" t="s">
        <v>36</v>
      </c>
      <c r="C12" s="5" t="s">
        <v>37</v>
      </c>
      <c r="D12" s="28">
        <f>IFERROR(_xlfn.XLOOKUP(Tabla2[[#This Row],[Referencia]], Tabla1[Referencia], Tabla1[Precio Unit. con IVA]), "0")</f>
        <v>93296</v>
      </c>
      <c r="E12" s="49">
        <v>1</v>
      </c>
      <c r="F12" s="29">
        <v>170000</v>
      </c>
      <c r="G12" s="28">
        <f t="shared" si="2"/>
        <v>170000</v>
      </c>
      <c r="H12" s="28">
        <f t="shared" si="0"/>
        <v>93296</v>
      </c>
      <c r="I12" s="28">
        <f t="shared" si="1"/>
        <v>76704</v>
      </c>
      <c r="J12" s="39">
        <f>Tabla2[[#This Row],[Ganancia]]/2</f>
        <v>38352</v>
      </c>
    </row>
    <row r="13" spans="1:10" x14ac:dyDescent="0.3">
      <c r="A13" s="25"/>
      <c r="B13" s="26"/>
      <c r="C13" s="27" t="str">
        <f>IFERROR(INDEX('Productos Factura FVE150174'!$C$4:$C$26,MATCH(B13,'Productos Factura FVE150174'!$B$4:$B$26,0)),"")</f>
        <v/>
      </c>
      <c r="D13" s="28" t="str">
        <f>IFERROR(_xlfn.XLOOKUP(Tabla2[[#This Row],[Referencia]], Tabla1[Referencia], Tabla1[Precio Unit. con IVA]), "0")</f>
        <v>0</v>
      </c>
      <c r="E13" s="49">
        <v>0</v>
      </c>
      <c r="F13" s="29">
        <f>Tabla2[[#This Row],[Cantidad Vendida]]*Tabla2[[#This Row],[Costo Unit. (con IVA)]]</f>
        <v>0</v>
      </c>
      <c r="G13" s="28">
        <f t="shared" si="2"/>
        <v>0</v>
      </c>
      <c r="H13" s="28">
        <f t="shared" si="0"/>
        <v>0</v>
      </c>
      <c r="I13" s="28">
        <v>0</v>
      </c>
      <c r="J13" s="39">
        <f>Tabla2[[#This Row],[Ganancia]]/2</f>
        <v>0</v>
      </c>
    </row>
    <row r="14" spans="1:10" x14ac:dyDescent="0.3">
      <c r="A14" s="25"/>
      <c r="B14" s="26"/>
      <c r="C14" s="27" t="str">
        <f>IFERROR(INDEX('Productos Factura FVE150174'!$C$4:$C$26,MATCH(B14,'Productos Factura FVE150174'!$B$4:$B$26,0)),"")</f>
        <v/>
      </c>
      <c r="D14" s="28" t="str">
        <f>IFERROR(_xlfn.XLOOKUP(Tabla2[[#This Row],[Referencia]], Tabla1[Referencia], Tabla1[Precio Unit. con IVA]), "0")</f>
        <v>0</v>
      </c>
      <c r="E14" s="49">
        <v>0</v>
      </c>
      <c r="F14" s="29">
        <f>Tabla2[[#This Row],[Cantidad Vendida]]*Tabla2[[#This Row],[Costo Unit. (con IVA)]]</f>
        <v>0</v>
      </c>
      <c r="G14" s="28">
        <f t="shared" si="2"/>
        <v>0</v>
      </c>
      <c r="H14" s="28">
        <f t="shared" si="0"/>
        <v>0</v>
      </c>
      <c r="I14" s="28">
        <v>0</v>
      </c>
      <c r="J14" s="39">
        <f>Tabla2[[#This Row],[Ganancia]]/2</f>
        <v>0</v>
      </c>
    </row>
    <row r="15" spans="1:10" x14ac:dyDescent="0.3">
      <c r="A15" s="25"/>
      <c r="B15" s="26"/>
      <c r="C15" s="27" t="str">
        <f>IFERROR(INDEX('Productos Factura FVE150174'!$C$4:$C$26,MATCH(B15,'Productos Factura FVE150174'!$B$4:$B$26,0)),"")</f>
        <v/>
      </c>
      <c r="D15" s="28" t="str">
        <f>IFERROR(_xlfn.XLOOKUP(Tabla2[[#This Row],[Referencia]], Tabla1[Referencia], Tabla1[Precio Unit. con IVA]), "0")</f>
        <v>0</v>
      </c>
      <c r="E15" s="49">
        <v>0</v>
      </c>
      <c r="F15" s="29">
        <f>Tabla2[[#This Row],[Cantidad Vendida]]*Tabla2[[#This Row],[Costo Unit. (con IVA)]]</f>
        <v>0</v>
      </c>
      <c r="G15" s="28">
        <f t="shared" si="2"/>
        <v>0</v>
      </c>
      <c r="H15" s="28">
        <f t="shared" si="0"/>
        <v>0</v>
      </c>
      <c r="I15" s="28">
        <v>0</v>
      </c>
      <c r="J15" s="39">
        <f>Tabla2[[#This Row],[Ganancia]]/2</f>
        <v>0</v>
      </c>
    </row>
    <row r="16" spans="1:10" x14ac:dyDescent="0.3">
      <c r="A16" s="25"/>
      <c r="B16" s="26"/>
      <c r="C16" s="27" t="str">
        <f>IFERROR(INDEX('Productos Factura FVE150174'!$C$4:$C$26,MATCH(B16,'Productos Factura FVE150174'!$B$4:$B$26,0)),"")</f>
        <v/>
      </c>
      <c r="D16" s="28" t="str">
        <f>IFERROR(_xlfn.XLOOKUP(Tabla2[[#This Row],[Referencia]], Tabla1[Referencia], Tabla1[Precio Unit. con IVA]), "0")</f>
        <v>0</v>
      </c>
      <c r="E16" s="49">
        <v>0</v>
      </c>
      <c r="F16" s="29">
        <f>Tabla2[[#This Row],[Cantidad Vendida]]*Tabla2[[#This Row],[Costo Unit. (con IVA)]]</f>
        <v>0</v>
      </c>
      <c r="G16" s="28">
        <f t="shared" si="2"/>
        <v>0</v>
      </c>
      <c r="H16" s="28">
        <f t="shared" si="0"/>
        <v>0</v>
      </c>
      <c r="I16" s="28">
        <v>0</v>
      </c>
      <c r="J16" s="39">
        <f>Tabla2[[#This Row],[Ganancia]]/2</f>
        <v>0</v>
      </c>
    </row>
    <row r="17" spans="1:10" x14ac:dyDescent="0.3">
      <c r="A17" s="25"/>
      <c r="B17" s="26"/>
      <c r="C17" s="27" t="str">
        <f>IFERROR(INDEX('Productos Factura FVE150174'!$C$4:$C$26,MATCH(B17,'Productos Factura FVE150174'!$B$4:$B$26,0)),"")</f>
        <v/>
      </c>
      <c r="D17" s="28" t="str">
        <f>IFERROR(_xlfn.XLOOKUP(Tabla2[[#This Row],[Referencia]], Tabla1[Referencia], Tabla1[Precio Unit. con IVA]), "0")</f>
        <v>0</v>
      </c>
      <c r="E17" s="49">
        <v>0</v>
      </c>
      <c r="F17" s="29">
        <f>Tabla2[[#This Row],[Cantidad Vendida]]*Tabla2[[#This Row],[Costo Unit. (con IVA)]]</f>
        <v>0</v>
      </c>
      <c r="G17" s="28">
        <f t="shared" si="2"/>
        <v>0</v>
      </c>
      <c r="H17" s="28">
        <f t="shared" si="0"/>
        <v>0</v>
      </c>
      <c r="I17" s="28">
        <v>0</v>
      </c>
      <c r="J17" s="39">
        <f>Tabla2[[#This Row],[Ganancia]]/2</f>
        <v>0</v>
      </c>
    </row>
    <row r="18" spans="1:10" x14ac:dyDescent="0.3">
      <c r="A18" s="25"/>
      <c r="B18" s="26"/>
      <c r="C18" s="27" t="str">
        <f>IFERROR(INDEX('Productos Factura FVE150174'!$C$4:$C$26,MATCH(B18,'Productos Factura FVE150174'!$B$4:$B$26,0)),"")</f>
        <v/>
      </c>
      <c r="D18" s="28" t="str">
        <f>IFERROR(_xlfn.XLOOKUP(Tabla2[[#This Row],[Referencia]], Tabla1[Referencia], Tabla1[Precio Unit. con IVA]), "0")</f>
        <v>0</v>
      </c>
      <c r="E18" s="49">
        <v>0</v>
      </c>
      <c r="F18" s="29">
        <f>Tabla2[[#This Row],[Cantidad Vendida]]*Tabla2[[#This Row],[Costo Unit. (con IVA)]]</f>
        <v>0</v>
      </c>
      <c r="G18" s="28">
        <f t="shared" si="2"/>
        <v>0</v>
      </c>
      <c r="H18" s="28">
        <f t="shared" si="0"/>
        <v>0</v>
      </c>
      <c r="I18" s="28">
        <v>0</v>
      </c>
      <c r="J18" s="39">
        <f>Tabla2[[#This Row],[Ganancia]]/2</f>
        <v>0</v>
      </c>
    </row>
    <row r="19" spans="1:10" x14ac:dyDescent="0.3">
      <c r="A19" s="25"/>
      <c r="B19" s="26"/>
      <c r="C19" s="27" t="str">
        <f>IFERROR(INDEX('Productos Factura FVE150174'!$C$4:$C$26,MATCH(B19,'Productos Factura FVE150174'!$B$4:$B$26,0)),"")</f>
        <v/>
      </c>
      <c r="D19" s="28" t="str">
        <f>IFERROR(_xlfn.XLOOKUP(Tabla2[[#This Row],[Referencia]], Tabla1[Referencia], Tabla1[Precio Unit. con IVA]), "0")</f>
        <v>0</v>
      </c>
      <c r="E19" s="49">
        <v>0</v>
      </c>
      <c r="F19" s="29">
        <f>Tabla2[[#This Row],[Cantidad Vendida]]*Tabla2[[#This Row],[Costo Unit. (con IVA)]]</f>
        <v>0</v>
      </c>
      <c r="G19" s="28">
        <f t="shared" si="2"/>
        <v>0</v>
      </c>
      <c r="H19" s="28">
        <f t="shared" si="0"/>
        <v>0</v>
      </c>
      <c r="I19" s="28">
        <v>0</v>
      </c>
      <c r="J19" s="39">
        <f>Tabla2[[#This Row],[Ganancia]]/2</f>
        <v>0</v>
      </c>
    </row>
    <row r="20" spans="1:10" x14ac:dyDescent="0.3">
      <c r="A20" s="25"/>
      <c r="B20" s="26"/>
      <c r="C20" s="27" t="str">
        <f>IFERROR(INDEX('Productos Factura FVE150174'!$C$4:$C$26,MATCH(B20,'Productos Factura FVE150174'!$B$4:$B$26,0)),"")</f>
        <v/>
      </c>
      <c r="D20" s="28" t="str">
        <f>IFERROR(_xlfn.XLOOKUP(Tabla2[[#This Row],[Referencia]], Tabla1[Referencia], Tabla1[Precio Unit. con IVA]), "0")</f>
        <v>0</v>
      </c>
      <c r="E20" s="49">
        <v>0</v>
      </c>
      <c r="F20" s="29">
        <f>Tabla2[[#This Row],[Cantidad Vendida]]*Tabla2[[#This Row],[Costo Unit. (con IVA)]]</f>
        <v>0</v>
      </c>
      <c r="G20" s="28">
        <f t="shared" si="2"/>
        <v>0</v>
      </c>
      <c r="H20" s="28">
        <f t="shared" si="0"/>
        <v>0</v>
      </c>
      <c r="I20" s="28">
        <v>0</v>
      </c>
      <c r="J20" s="39">
        <f>Tabla2[[#This Row],[Ganancia]]/2</f>
        <v>0</v>
      </c>
    </row>
    <row r="21" spans="1:10" x14ac:dyDescent="0.3">
      <c r="A21" s="30"/>
      <c r="B21" s="31"/>
      <c r="C21" s="32" t="str">
        <f>IFERROR(INDEX('Productos Factura FVE150174'!$C$4:$C$26,MATCH(B21,'Productos Factura FVE150174'!$B$4:$B$26,0)),"")</f>
        <v/>
      </c>
      <c r="D21" s="28" t="str">
        <f>IFERROR(_xlfn.XLOOKUP(Tabla2[[#This Row],[Referencia]], Tabla1[Referencia], Tabla1[Precio Unit. con IVA]), "0")</f>
        <v>0</v>
      </c>
      <c r="E21" s="49">
        <v>0</v>
      </c>
      <c r="F21" s="34">
        <f>Tabla2[[#This Row],[Cantidad Vendida]]*Tabla2[[#This Row],[Costo Unit. (con IVA)]]</f>
        <v>0</v>
      </c>
      <c r="G21" s="33">
        <f t="shared" si="2"/>
        <v>0</v>
      </c>
      <c r="H21" s="33">
        <f t="shared" si="0"/>
        <v>0</v>
      </c>
      <c r="I21" s="28">
        <v>0</v>
      </c>
      <c r="J21" s="39">
        <f>Tabla2[[#This Row],[Ganancia]]/2</f>
        <v>0</v>
      </c>
    </row>
    <row r="22" spans="1:10" x14ac:dyDescent="0.3">
      <c r="A22" s="12"/>
      <c r="B22" s="12"/>
      <c r="C22" s="9" t="s">
        <v>58</v>
      </c>
      <c r="D22" s="58">
        <f>SUM(D5:D21)</f>
        <v>679049.7</v>
      </c>
      <c r="E22" s="10">
        <f>SUM(E5:E21)</f>
        <v>8</v>
      </c>
      <c r="F22" s="12"/>
      <c r="G22" s="13">
        <f>SUM(G5:G21)</f>
        <v>1035000</v>
      </c>
      <c r="H22" s="13">
        <f>SUM(H5:H21)</f>
        <v>679049.7</v>
      </c>
      <c r="I22" s="13">
        <f>SUM(I5:I21)</f>
        <v>355950.30000000005</v>
      </c>
      <c r="J22" s="40">
        <f>SUM(Tabla2[[Margen ]])</f>
        <v>177975.15000000002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'Productos Factura FVE150174'!$B$4:$B$26</xm:f>
          </x14:formula1>
          <x14:formula2>
            <xm:f>0</xm:f>
          </x14:formula2>
          <xm:sqref>B5:B8 C9:C10 B10:B21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DB7-C087-4472-BE2B-60027280C00D}">
  <dimension ref="A1:J28"/>
  <sheetViews>
    <sheetView tabSelected="1" topLeftCell="A4" workbookViewId="0">
      <selection activeCell="I18" sqref="I18"/>
    </sheetView>
  </sheetViews>
  <sheetFormatPr baseColWidth="10" defaultRowHeight="14.4" x14ac:dyDescent="0.3"/>
  <cols>
    <col min="2" max="2" width="12.109375" customWidth="1"/>
    <col min="3" max="3" width="53.21875" customWidth="1"/>
    <col min="4" max="4" width="16.77734375" customWidth="1"/>
    <col min="5" max="5" width="18.5546875" customWidth="1"/>
    <col min="6" max="6" width="26.21875" customWidth="1"/>
    <col min="7" max="7" width="25.21875" customWidth="1"/>
    <col min="8" max="8" width="23.44140625" customWidth="1"/>
  </cols>
  <sheetData>
    <row r="1" spans="1:10" ht="17.399999999999999" x14ac:dyDescent="0.3">
      <c r="A1" s="42" t="s">
        <v>71</v>
      </c>
      <c r="B1" s="42"/>
      <c r="C1" s="42"/>
      <c r="D1" s="42"/>
      <c r="E1" s="42"/>
      <c r="F1" s="42"/>
      <c r="G1" s="42"/>
      <c r="H1" s="42"/>
      <c r="I1" s="42"/>
      <c r="J1" s="42"/>
    </row>
    <row r="4" spans="1:10" ht="15" customHeight="1" x14ac:dyDescent="0.3">
      <c r="B4" s="16" t="s">
        <v>3</v>
      </c>
      <c r="C4" s="17" t="s">
        <v>4</v>
      </c>
      <c r="D4" s="17" t="s">
        <v>5</v>
      </c>
      <c r="E4" s="36" t="s">
        <v>64</v>
      </c>
      <c r="F4" s="36" t="s">
        <v>70</v>
      </c>
      <c r="G4" s="17" t="s">
        <v>8</v>
      </c>
      <c r="H4" s="17" t="s">
        <v>9</v>
      </c>
    </row>
    <row r="5" spans="1:10" ht="15" customHeight="1" x14ac:dyDescent="0.3">
      <c r="B5" s="46" t="s">
        <v>12</v>
      </c>
      <c r="C5" s="45" t="s">
        <v>13</v>
      </c>
      <c r="D5" s="47">
        <v>2</v>
      </c>
      <c r="E5" s="50" t="str">
        <f>IFERROR(_xlfn.XLOOKUP(Tabla3[[#This Row],[Referencia]], Tabla2[Referencia], Tabla2[Cantidad Vendida]), "0")</f>
        <v>0</v>
      </c>
      <c r="F5" s="50">
        <f>Tabla3[[#This Row],[Cantidad]]-Tabla3[[#This Row],[Cantidad Vendida]]</f>
        <v>2</v>
      </c>
      <c r="G5" s="51">
        <f>_xlfn.XLOOKUP(Tabla3[[#This Row],[Referencia]],Tabla1[Referencia],Tabla1[Precio Unit. con IVA])</f>
        <v>46648</v>
      </c>
      <c r="H5" s="52">
        <f>Tabla3[[#This Row],[Precio Unit. con IVA]]*Tabla3[[#This Row],[Cantidad Disponible]]</f>
        <v>93296</v>
      </c>
    </row>
    <row r="6" spans="1:10" ht="15" customHeight="1" x14ac:dyDescent="0.3">
      <c r="B6" s="14" t="s">
        <v>14</v>
      </c>
      <c r="C6" s="5" t="s">
        <v>15</v>
      </c>
      <c r="D6" s="48">
        <v>1</v>
      </c>
      <c r="E6" s="50" t="str">
        <f>IFERROR(_xlfn.XLOOKUP(Tabla3[[#This Row],[Referencia]], Tabla2[Referencia], Tabla2[Cantidad Vendida]), "0")</f>
        <v>0</v>
      </c>
      <c r="F6" s="50">
        <f>Tabla3[[#This Row],[Cantidad]]-Tabla3[[#This Row],[Cantidad Vendida]]</f>
        <v>1</v>
      </c>
      <c r="G6" s="51">
        <f>_xlfn.XLOOKUP(Tabla3[[#This Row],[Referencia]],Tabla1[Referencia],Tabla1[Precio Unit. con IVA])</f>
        <v>46648</v>
      </c>
      <c r="H6" s="52">
        <f>Tabla3[[#This Row],[Precio Unit. con IVA]]*Tabla3[[#This Row],[Cantidad Disponible]]</f>
        <v>46648</v>
      </c>
    </row>
    <row r="7" spans="1:10" ht="15" customHeight="1" x14ac:dyDescent="0.3">
      <c r="B7" s="46" t="s">
        <v>16</v>
      </c>
      <c r="C7" s="45" t="s">
        <v>17</v>
      </c>
      <c r="D7" s="47">
        <v>1</v>
      </c>
      <c r="E7" s="50" t="str">
        <f>IFERROR(_xlfn.XLOOKUP(Tabla3[[#This Row],[Referencia]], Tabla2[Referencia], Tabla2[Cantidad Vendida]), "0")</f>
        <v>0</v>
      </c>
      <c r="F7" s="50">
        <f>Tabla3[[#This Row],[Cantidad]]-Tabla3[[#This Row],[Cantidad Vendida]]</f>
        <v>1</v>
      </c>
      <c r="G7" s="51">
        <f>_xlfn.XLOOKUP(Tabla3[[#This Row],[Referencia]],Tabla1[Referencia],Tabla1[Precio Unit. con IVA])</f>
        <v>34272</v>
      </c>
      <c r="H7" s="52">
        <f>Tabla3[[#This Row],[Precio Unit. con IVA]]*Tabla3[[#This Row],[Cantidad Disponible]]</f>
        <v>34272</v>
      </c>
    </row>
    <row r="8" spans="1:10" ht="15" customHeight="1" x14ac:dyDescent="0.3">
      <c r="B8" s="14" t="s">
        <v>18</v>
      </c>
      <c r="C8" s="5" t="s">
        <v>19</v>
      </c>
      <c r="D8" s="48">
        <v>2</v>
      </c>
      <c r="E8" s="50" t="str">
        <f>IFERROR(_xlfn.XLOOKUP(Tabla3[[#This Row],[Referencia]], Tabla2[Referencia], Tabla2[Cantidad Vendida]), "0")</f>
        <v>0</v>
      </c>
      <c r="F8" s="50">
        <f>Tabla3[[#This Row],[Cantidad]]-Tabla3[[#This Row],[Cantidad Vendida]]</f>
        <v>2</v>
      </c>
      <c r="G8" s="51">
        <f>_xlfn.XLOOKUP(Tabla3[[#This Row],[Referencia]],Tabla1[Referencia],Tabla1[Precio Unit. con IVA])</f>
        <v>34272</v>
      </c>
      <c r="H8" s="52">
        <f>Tabla3[[#This Row],[Precio Unit. con IVA]]*Tabla3[[#This Row],[Cantidad Disponible]]</f>
        <v>68544</v>
      </c>
    </row>
    <row r="9" spans="1:10" ht="15" customHeight="1" x14ac:dyDescent="0.3">
      <c r="B9" s="46" t="s">
        <v>20</v>
      </c>
      <c r="C9" s="45" t="s">
        <v>21</v>
      </c>
      <c r="D9" s="47">
        <v>1</v>
      </c>
      <c r="E9" s="50">
        <f>IFERROR(_xlfn.XLOOKUP(Tabla3[[#This Row],[Referencia]], Tabla2[Referencia], Tabla2[Cantidad Vendida]), "0")</f>
        <v>1</v>
      </c>
      <c r="F9" s="50">
        <f>Tabla3[[#This Row],[Cantidad]]-Tabla3[[#This Row],[Cantidad Vendida]]</f>
        <v>0</v>
      </c>
      <c r="G9" s="51">
        <f>_xlfn.XLOOKUP(Tabla3[[#This Row],[Referencia]],Tabla1[Referencia],Tabla1[Precio Unit. con IVA])</f>
        <v>27608</v>
      </c>
      <c r="H9" s="52">
        <f>Tabla3[[#This Row],[Precio Unit. con IVA]]*Tabla3[[#This Row],[Cantidad Disponible]]</f>
        <v>0</v>
      </c>
    </row>
    <row r="10" spans="1:10" ht="15" customHeight="1" x14ac:dyDescent="0.3">
      <c r="B10" s="14" t="s">
        <v>22</v>
      </c>
      <c r="C10" s="5" t="s">
        <v>23</v>
      </c>
      <c r="D10" s="48">
        <v>1</v>
      </c>
      <c r="E10" s="50">
        <f>IFERROR(_xlfn.XLOOKUP(Tabla3[[#This Row],[Referencia]], Tabla2[Referencia], Tabla2[Cantidad Vendida]), "0")</f>
        <v>1</v>
      </c>
      <c r="F10" s="50">
        <f>Tabla3[[#This Row],[Cantidad]]-Tabla3[[#This Row],[Cantidad Vendida]]</f>
        <v>0</v>
      </c>
      <c r="G10" s="51">
        <f>_xlfn.XLOOKUP(Tabla3[[#This Row],[Referencia]],Tabla1[Referencia],Tabla1[Precio Unit. con IVA])</f>
        <v>27608</v>
      </c>
      <c r="H10" s="52">
        <f>Tabla3[[#This Row],[Precio Unit. con IVA]]*Tabla3[[#This Row],[Cantidad Disponible]]</f>
        <v>0</v>
      </c>
    </row>
    <row r="11" spans="1:10" ht="15" customHeight="1" x14ac:dyDescent="0.3">
      <c r="B11" s="46" t="s">
        <v>24</v>
      </c>
      <c r="C11" s="45" t="s">
        <v>25</v>
      </c>
      <c r="D11" s="47">
        <v>1</v>
      </c>
      <c r="E11" s="50" t="str">
        <f>IFERROR(_xlfn.XLOOKUP(Tabla3[[#This Row],[Referencia]], Tabla2[Referencia], Tabla2[Cantidad Vendida]), "0")</f>
        <v>0</v>
      </c>
      <c r="F11" s="50">
        <f>Tabla3[[#This Row],[Cantidad]]-Tabla3[[#This Row],[Cantidad Vendida]]</f>
        <v>1</v>
      </c>
      <c r="G11" s="51">
        <f>_xlfn.XLOOKUP(Tabla3[[#This Row],[Referencia]],Tabla1[Referencia],Tabla1[Precio Unit. con IVA])</f>
        <v>124712</v>
      </c>
      <c r="H11" s="52">
        <f>Tabla3[[#This Row],[Precio Unit. con IVA]]*Tabla3[[#This Row],[Cantidad Disponible]]</f>
        <v>124712</v>
      </c>
    </row>
    <row r="12" spans="1:10" ht="15" customHeight="1" x14ac:dyDescent="0.3">
      <c r="B12" s="14" t="s">
        <v>26</v>
      </c>
      <c r="C12" s="5" t="s">
        <v>27</v>
      </c>
      <c r="D12" s="48">
        <v>1</v>
      </c>
      <c r="E12" s="50" t="str">
        <f>IFERROR(_xlfn.XLOOKUP(Tabla3[[#This Row],[Referencia]], Tabla2[Referencia], Tabla2[Cantidad Vendida]), "0")</f>
        <v>0</v>
      </c>
      <c r="F12" s="50">
        <f>Tabla3[[#This Row],[Cantidad]]-Tabla3[[#This Row],[Cantidad Vendida]]</f>
        <v>1</v>
      </c>
      <c r="G12" s="51">
        <f>_xlfn.XLOOKUP(Tabla3[[#This Row],[Referencia]],Tabla1[Referencia],Tabla1[Precio Unit. con IVA])</f>
        <v>86632</v>
      </c>
      <c r="H12" s="52">
        <f>Tabla3[[#This Row],[Precio Unit. con IVA]]*Tabla3[[#This Row],[Cantidad Disponible]]</f>
        <v>86632</v>
      </c>
    </row>
    <row r="13" spans="1:10" ht="15" customHeight="1" x14ac:dyDescent="0.3">
      <c r="B13" s="46" t="s">
        <v>28</v>
      </c>
      <c r="C13" s="45" t="s">
        <v>29</v>
      </c>
      <c r="D13" s="47">
        <v>1</v>
      </c>
      <c r="E13" s="50" t="str">
        <f>IFERROR(_xlfn.XLOOKUP(Tabla3[[#This Row],[Referencia]], Tabla2[Referencia], Tabla2[Cantidad Vendida]), "0")</f>
        <v>0</v>
      </c>
      <c r="F13" s="50">
        <f>Tabla3[[#This Row],[Cantidad]]-Tabla3[[#This Row],[Cantidad Vendida]]</f>
        <v>1</v>
      </c>
      <c r="G13" s="51">
        <f>_xlfn.XLOOKUP(Tabla3[[#This Row],[Referencia]],Tabla1[Referencia],Tabla1[Precio Unit. con IVA])</f>
        <v>37128</v>
      </c>
      <c r="H13" s="52">
        <f>Tabla3[[#This Row],[Precio Unit. con IVA]]*Tabla3[[#This Row],[Cantidad Disponible]]</f>
        <v>37128</v>
      </c>
    </row>
    <row r="14" spans="1:10" ht="15" customHeight="1" x14ac:dyDescent="0.3">
      <c r="B14" s="14" t="s">
        <v>30</v>
      </c>
      <c r="C14" s="5" t="s">
        <v>31</v>
      </c>
      <c r="D14" s="48">
        <v>1</v>
      </c>
      <c r="E14" s="50" t="str">
        <f>IFERROR(_xlfn.XLOOKUP(Tabla3[[#This Row],[Referencia]], Tabla2[Referencia], Tabla2[Cantidad Vendida]), "0")</f>
        <v>0</v>
      </c>
      <c r="F14" s="50">
        <f>Tabla3[[#This Row],[Cantidad]]-Tabla3[[#This Row],[Cantidad Vendida]]</f>
        <v>1</v>
      </c>
      <c r="G14" s="51">
        <f>_xlfn.XLOOKUP(Tabla3[[#This Row],[Referencia]],Tabla1[Referencia],Tabla1[Precio Unit. con IVA])</f>
        <v>37128</v>
      </c>
      <c r="H14" s="52">
        <f>Tabla3[[#This Row],[Precio Unit. con IVA]]*Tabla3[[#This Row],[Cantidad Disponible]]</f>
        <v>37128</v>
      </c>
    </row>
    <row r="15" spans="1:10" ht="15" customHeight="1" x14ac:dyDescent="0.3">
      <c r="B15" s="46" t="s">
        <v>32</v>
      </c>
      <c r="C15" s="45" t="s">
        <v>33</v>
      </c>
      <c r="D15" s="47">
        <v>6</v>
      </c>
      <c r="E15" s="50" t="str">
        <f>IFERROR(_xlfn.XLOOKUP(Tabla3[[#This Row],[Referencia]], Tabla2[Referencia], Tabla2[Cantidad Vendida]), "0")</f>
        <v>0</v>
      </c>
      <c r="F15" s="50">
        <f>Tabla3[[#This Row],[Cantidad]]-Tabla3[[#This Row],[Cantidad Vendida]]</f>
        <v>6</v>
      </c>
      <c r="G15" s="51">
        <f>_xlfn.XLOOKUP(Tabla3[[#This Row],[Referencia]],Tabla1[Referencia],Tabla1[Precio Unit. con IVA])</f>
        <v>6664</v>
      </c>
      <c r="H15" s="52">
        <f>Tabla3[[#This Row],[Precio Unit. con IVA]]*Tabla3[[#This Row],[Cantidad Disponible]]</f>
        <v>39984</v>
      </c>
    </row>
    <row r="16" spans="1:10" ht="15" customHeight="1" x14ac:dyDescent="0.3">
      <c r="B16" s="14" t="s">
        <v>34</v>
      </c>
      <c r="C16" s="5" t="s">
        <v>35</v>
      </c>
      <c r="D16" s="48">
        <v>6</v>
      </c>
      <c r="E16" s="50" t="str">
        <f>IFERROR(_xlfn.XLOOKUP(Tabla3[[#This Row],[Referencia]], Tabla2[Referencia], Tabla2[Cantidad Vendida]), "0")</f>
        <v>0</v>
      </c>
      <c r="F16" s="50">
        <f>Tabla3[[#This Row],[Cantidad]]-Tabla3[[#This Row],[Cantidad Vendida]]</f>
        <v>6</v>
      </c>
      <c r="G16" s="51">
        <f>_xlfn.XLOOKUP(Tabla3[[#This Row],[Referencia]],Tabla1[Referencia],Tabla1[Precio Unit. con IVA])</f>
        <v>6664</v>
      </c>
      <c r="H16" s="52">
        <f>Tabla3[[#This Row],[Precio Unit. con IVA]]*Tabla3[[#This Row],[Cantidad Disponible]]</f>
        <v>39984</v>
      </c>
    </row>
    <row r="17" spans="2:8" ht="15" customHeight="1" x14ac:dyDescent="0.3">
      <c r="B17" s="46" t="s">
        <v>36</v>
      </c>
      <c r="C17" s="45" t="s">
        <v>37</v>
      </c>
      <c r="D17" s="47">
        <v>4</v>
      </c>
      <c r="E17" s="50">
        <f>IFERROR(_xlfn.XLOOKUP(Tabla3[[#This Row],[Referencia]], Tabla2[Referencia], Tabla2[Cantidad Vendida]), "0")</f>
        <v>1</v>
      </c>
      <c r="F17" s="50">
        <f>Tabla3[[#This Row],[Cantidad]]-Tabla3[[#This Row],[Cantidad Vendida]]</f>
        <v>3</v>
      </c>
      <c r="G17" s="51">
        <f>_xlfn.XLOOKUP(Tabla3[[#This Row],[Referencia]],Tabla1[Referencia],Tabla1[Precio Unit. con IVA])</f>
        <v>93296</v>
      </c>
      <c r="H17" s="52">
        <f>Tabla3[[#This Row],[Precio Unit. con IVA]]*Tabla3[[#This Row],[Cantidad Disponible]]</f>
        <v>279888</v>
      </c>
    </row>
    <row r="18" spans="2:8" ht="15" customHeight="1" x14ac:dyDescent="0.3">
      <c r="B18" s="14" t="s">
        <v>38</v>
      </c>
      <c r="C18" s="5" t="s">
        <v>39</v>
      </c>
      <c r="D18" s="48">
        <v>2</v>
      </c>
      <c r="E18" s="50" t="str">
        <f>IFERROR(_xlfn.XLOOKUP(Tabla3[[#This Row],[Referencia]], Tabla2[Referencia], Tabla2[Cantidad Vendida]), "0")</f>
        <v>0</v>
      </c>
      <c r="F18" s="50">
        <f>Tabla3[[#This Row],[Cantidad]]-Tabla3[[#This Row],[Cantidad Vendida]]</f>
        <v>2</v>
      </c>
      <c r="G18" s="51">
        <f>_xlfn.XLOOKUP(Tabla3[[#This Row],[Referencia]],Tabla1[Referencia],Tabla1[Precio Unit. con IVA])</f>
        <v>15232</v>
      </c>
      <c r="H18" s="52">
        <f>Tabla3[[#This Row],[Precio Unit. con IVA]]*Tabla3[[#This Row],[Cantidad Disponible]]</f>
        <v>30464</v>
      </c>
    </row>
    <row r="19" spans="2:8" ht="15" customHeight="1" x14ac:dyDescent="0.3">
      <c r="B19" s="46" t="s">
        <v>40</v>
      </c>
      <c r="C19" s="45" t="s">
        <v>41</v>
      </c>
      <c r="D19" s="47">
        <v>2</v>
      </c>
      <c r="E19" s="50" t="str">
        <f>IFERROR(_xlfn.XLOOKUP(Tabla3[[#This Row],[Referencia]], Tabla2[Referencia], Tabla2[Cantidad Vendida]), "0")</f>
        <v>0</v>
      </c>
      <c r="F19" s="50">
        <f>Tabla3[[#This Row],[Cantidad]]-Tabla3[[#This Row],[Cantidad Vendida]]</f>
        <v>2</v>
      </c>
      <c r="G19" s="51">
        <f>_xlfn.XLOOKUP(Tabla3[[#This Row],[Referencia]],Tabla1[Referencia],Tabla1[Precio Unit. con IVA])</f>
        <v>15232</v>
      </c>
      <c r="H19" s="52">
        <f>Tabla3[[#This Row],[Precio Unit. con IVA]]*Tabla3[[#This Row],[Cantidad Disponible]]</f>
        <v>30464</v>
      </c>
    </row>
    <row r="20" spans="2:8" ht="15" customHeight="1" x14ac:dyDescent="0.3">
      <c r="B20" s="14" t="s">
        <v>42</v>
      </c>
      <c r="C20" s="5" t="s">
        <v>43</v>
      </c>
      <c r="D20" s="48">
        <v>1</v>
      </c>
      <c r="E20" s="50" t="str">
        <f>IFERROR(_xlfn.XLOOKUP(Tabla3[[#This Row],[Referencia]], Tabla2[Referencia], Tabla2[Cantidad Vendida]), "0")</f>
        <v>0</v>
      </c>
      <c r="F20" s="50">
        <f>Tabla3[[#This Row],[Cantidad]]-Tabla3[[#This Row],[Cantidad Vendida]]</f>
        <v>1</v>
      </c>
      <c r="G20" s="51">
        <f>_xlfn.XLOOKUP(Tabla3[[#This Row],[Referencia]],Tabla1[Referencia],Tabla1[Precio Unit. con IVA])</f>
        <v>66640</v>
      </c>
      <c r="H20" s="52">
        <f>Tabla3[[#This Row],[Precio Unit. con IVA]]*Tabla3[[#This Row],[Cantidad Disponible]]</f>
        <v>66640</v>
      </c>
    </row>
    <row r="21" spans="2:8" ht="15" customHeight="1" x14ac:dyDescent="0.3">
      <c r="B21" s="46" t="s">
        <v>44</v>
      </c>
      <c r="C21" s="45" t="s">
        <v>45</v>
      </c>
      <c r="D21" s="47">
        <v>1</v>
      </c>
      <c r="E21" s="50">
        <f>IFERROR(_xlfn.XLOOKUP(Tabla3[[#This Row],[Referencia]], Tabla2[Referencia], Tabla2[Cantidad Vendida]), "0")</f>
        <v>1</v>
      </c>
      <c r="F21" s="50">
        <f>Tabla3[[#This Row],[Cantidad]]-Tabla3[[#This Row],[Cantidad Vendida]]</f>
        <v>0</v>
      </c>
      <c r="G21" s="51">
        <f>_xlfn.XLOOKUP(Tabla3[[#This Row],[Referencia]],Tabla1[Referencia],Tabla1[Precio Unit. con IVA])</f>
        <v>189448</v>
      </c>
      <c r="H21" s="52">
        <f>Tabla3[[#This Row],[Precio Unit. con IVA]]*Tabla3[[#This Row],[Cantidad Disponible]]</f>
        <v>0</v>
      </c>
    </row>
    <row r="22" spans="2:8" ht="15" customHeight="1" x14ac:dyDescent="0.3">
      <c r="B22" s="14" t="s">
        <v>46</v>
      </c>
      <c r="C22" s="5" t="s">
        <v>47</v>
      </c>
      <c r="D22" s="48">
        <v>1</v>
      </c>
      <c r="E22" s="50">
        <f>IFERROR(_xlfn.XLOOKUP(Tabla3[[#This Row],[Referencia]], Tabla2[Referencia], Tabla2[Cantidad Vendida]), "0")</f>
        <v>1</v>
      </c>
      <c r="F22" s="50">
        <f>Tabla3[[#This Row],[Cantidad]]-Tabla3[[#This Row],[Cantidad Vendida]]</f>
        <v>0</v>
      </c>
      <c r="G22" s="51">
        <f>_xlfn.XLOOKUP(Tabla3[[#This Row],[Referencia]],Tabla1[Referencia],Tabla1[Precio Unit. con IVA])</f>
        <v>125664</v>
      </c>
      <c r="H22" s="52">
        <f>Tabla3[[#This Row],[Precio Unit. con IVA]]*Tabla3[[#This Row],[Cantidad Disponible]]</f>
        <v>0</v>
      </c>
    </row>
    <row r="23" spans="2:8" ht="15" customHeight="1" x14ac:dyDescent="0.3">
      <c r="B23" s="46" t="s">
        <v>48</v>
      </c>
      <c r="C23" s="45" t="s">
        <v>49</v>
      </c>
      <c r="D23" s="47">
        <v>1</v>
      </c>
      <c r="E23" s="50" t="str">
        <f>IFERROR(_xlfn.XLOOKUP(Tabla3[[#This Row],[Referencia]], Tabla2[Referencia], Tabla2[Cantidad Vendida]), "0")</f>
        <v>0</v>
      </c>
      <c r="F23" s="50">
        <f>Tabla3[[#This Row],[Cantidad]]-Tabla3[[#This Row],[Cantidad Vendida]]</f>
        <v>1</v>
      </c>
      <c r="G23" s="51">
        <f>_xlfn.XLOOKUP(Tabla3[[#This Row],[Referencia]],Tabla1[Referencia],Tabla1[Precio Unit. con IVA])</f>
        <v>24752</v>
      </c>
      <c r="H23" s="52">
        <f>Tabla3[[#This Row],[Precio Unit. con IVA]]*Tabla3[[#This Row],[Cantidad Disponible]]</f>
        <v>24752</v>
      </c>
    </row>
    <row r="24" spans="2:8" ht="15" customHeight="1" x14ac:dyDescent="0.3">
      <c r="B24" s="14" t="s">
        <v>50</v>
      </c>
      <c r="C24" s="5" t="s">
        <v>51</v>
      </c>
      <c r="D24" s="48">
        <v>6</v>
      </c>
      <c r="E24" s="50">
        <f>IFERROR(_xlfn.XLOOKUP(Tabla3[[#This Row],[Referencia]], Tabla2[Referencia], Tabla2[Cantidad Vendida]), "0")</f>
        <v>1</v>
      </c>
      <c r="F24" s="50">
        <f>Tabla3[[#This Row],[Cantidad]]-Tabla3[[#This Row],[Cantidad Vendida]]</f>
        <v>5</v>
      </c>
      <c r="G24" s="51">
        <f>_xlfn.XLOOKUP(Tabla3[[#This Row],[Referencia]],Tabla1[Referencia],Tabla1[Precio Unit. con IVA])</f>
        <v>12376</v>
      </c>
      <c r="H24" s="52">
        <f>Tabla3[[#This Row],[Precio Unit. con IVA]]*Tabla3[[#This Row],[Cantidad Disponible]]</f>
        <v>61880</v>
      </c>
    </row>
    <row r="25" spans="2:8" ht="15" customHeight="1" x14ac:dyDescent="0.3">
      <c r="B25" s="46" t="s">
        <v>52</v>
      </c>
      <c r="C25" s="45" t="s">
        <v>53</v>
      </c>
      <c r="D25" s="47">
        <v>3</v>
      </c>
      <c r="E25" s="50" t="str">
        <f>IFERROR(_xlfn.XLOOKUP(Tabla3[[#This Row],[Referencia]], Tabla2[Referencia], Tabla2[Cantidad Vendida]), "0")</f>
        <v>0</v>
      </c>
      <c r="F25" s="50">
        <f>Tabla3[[#This Row],[Cantidad]]-Tabla3[[#This Row],[Cantidad Vendida]]</f>
        <v>3</v>
      </c>
      <c r="G25" s="51">
        <f>_xlfn.XLOOKUP(Tabla3[[#This Row],[Referencia]],Tabla1[Referencia],Tabla1[Precio Unit. con IVA])</f>
        <v>7616</v>
      </c>
      <c r="H25" s="52">
        <f>Tabla3[[#This Row],[Precio Unit. con IVA]]*Tabla3[[#This Row],[Cantidad Disponible]]</f>
        <v>22848</v>
      </c>
    </row>
    <row r="26" spans="2:8" ht="15" customHeight="1" x14ac:dyDescent="0.3">
      <c r="B26" s="14" t="s">
        <v>54</v>
      </c>
      <c r="C26" s="5" t="s">
        <v>55</v>
      </c>
      <c r="D26" s="48">
        <v>6</v>
      </c>
      <c r="E26" s="50">
        <f>IFERROR(_xlfn.XLOOKUP(Tabla3[[#This Row],[Referencia]], Tabla2[Referencia], Tabla2[Cantidad Vendida]), "0")</f>
        <v>1</v>
      </c>
      <c r="F26" s="50">
        <f>Tabla3[[#This Row],[Cantidad]]-Tabla3[[#This Row],[Cantidad Vendida]]</f>
        <v>5</v>
      </c>
      <c r="G26" s="51">
        <f>_xlfn.XLOOKUP(Tabla3[[#This Row],[Referencia]],Tabla1[Referencia],Tabla1[Precio Unit. con IVA])</f>
        <v>5712</v>
      </c>
      <c r="H26" s="52">
        <f>Tabla3[[#This Row],[Precio Unit. con IVA]]*Tabla3[[#This Row],[Cantidad Disponible]]</f>
        <v>28560</v>
      </c>
    </row>
    <row r="27" spans="2:8" ht="15" customHeight="1" x14ac:dyDescent="0.3">
      <c r="B27" s="46" t="s">
        <v>56</v>
      </c>
      <c r="C27" s="45" t="s">
        <v>57</v>
      </c>
      <c r="D27" s="47">
        <v>1</v>
      </c>
      <c r="E27" s="50">
        <f>IFERROR(_xlfn.XLOOKUP(Tabla3[[#This Row],[Referencia]], Tabla2[Referencia], Tabla2[Cantidad Vendida]), "0")</f>
        <v>1</v>
      </c>
      <c r="F27" s="50">
        <f>Tabla3[[#This Row],[Cantidad]]-Tabla3[[#This Row],[Cantidad Vendida]]</f>
        <v>0</v>
      </c>
      <c r="G27" s="51">
        <f>_xlfn.XLOOKUP(Tabla3[[#This Row],[Referencia]],Tabla1[Referencia],Tabla1[Precio Unit. con IVA])</f>
        <v>197337.69999999998</v>
      </c>
      <c r="H27" s="52">
        <f>Tabla3[[#This Row],[Precio Unit. con IVA]]*Tabla3[[#This Row],[Cantidad Disponible]]</f>
        <v>0</v>
      </c>
    </row>
    <row r="28" spans="2:8" x14ac:dyDescent="0.3">
      <c r="B28" s="54"/>
      <c r="C28" s="55"/>
      <c r="D28" s="53">
        <f>SUM(Tabla3[Cantidad])</f>
        <v>52</v>
      </c>
      <c r="E28" s="53">
        <f>SUM(Tabla3[Cantidad Vendida])</f>
        <v>8</v>
      </c>
      <c r="F28" s="53">
        <f>SUM(Tabla3[Cantidad Disponible])</f>
        <v>44</v>
      </c>
      <c r="G28" s="57"/>
      <c r="H28" s="56">
        <f>SUM(Tabla3[Valor Total con IVA])</f>
        <v>1153824</v>
      </c>
    </row>
  </sheetData>
  <mergeCells count="1">
    <mergeCell ref="A1:J1"/>
  </mergeCells>
  <conditionalFormatting sqref="F5:F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 Factura FVE150174</vt:lpstr>
      <vt:lpstr>Registro Ventas y Ganancias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Camilo</cp:lastModifiedBy>
  <cp:revision>0</cp:revision>
  <dcterms:created xsi:type="dcterms:W3CDTF">2026-09-22T15:14:21Z</dcterms:created>
  <dcterms:modified xsi:type="dcterms:W3CDTF">2026-10-07T16:09:26Z</dcterms:modified>
  <dc:language>en-US</dc:language>
</cp:coreProperties>
</file>